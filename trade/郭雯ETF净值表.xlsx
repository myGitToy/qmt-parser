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901"/>
  <workbookPr filterPrivacy="1"/>
  <xr:revisionPtr revIDLastSave="4" documentId="13_ncr:1_{0ED7D809-043F-4C19-A9CC-46D8CE651CD3}" xr6:coauthVersionLast="46" xr6:coauthVersionMax="46" xr10:uidLastSave="{19A93438-2AC2-4F99-8B8F-47B56767553E}"/>
  <bookViews>
    <workbookView xWindow="-96" yWindow="-96" windowWidth="23232" windowHeight="12552" xr2:uid="{00000000-000D-0000-FFFF-FFFF00000000}"/>
  </bookViews>
  <sheets>
    <sheet name="交易记录" sheetId="1" r:id="rId1"/>
    <sheet name="Sheet2" sheetId="6" r:id="rId2"/>
    <sheet name="Sheet1" sheetId="5" r:id="rId3"/>
    <sheet name="净值记录" sheetId="2" r:id="rId4"/>
    <sheet name="RawData" sheetId="4" r:id="rId5"/>
  </sheets>
  <definedNames>
    <definedName name="_xlnm._FilterDatabase" localSheetId="3" hidden="1">净值记录!$A$1:$F$178</definedName>
    <definedName name="ExternalData_1" localSheetId="4" hidden="1">RawData!$A$1:$H$746</definedName>
    <definedName name="_xlnm.Print_Titles" localSheetId="3">净值记录!$1:$1</definedName>
    <definedName name="切片器_净值日期">#N/A</definedName>
  </definedNames>
  <calcPr calcId="191029"/>
  <pivotCaches>
    <pivotCache cacheId="3" r:id="rId6"/>
  </pivotCaches>
  <extLst>
    <ext xmlns:x14="http://schemas.microsoft.com/office/spreadsheetml/2009/9/main" uri="{BBE1A952-AA13-448e-AADC-164F8A28A991}">
      <x14:slicerCaches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465" i="2" l="1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400" i="2"/>
  <c r="D400" i="2" s="1"/>
  <c r="F400" i="2" s="1"/>
  <c r="C401" i="2"/>
  <c r="D401" i="2" s="1"/>
  <c r="F401" i="2" s="1"/>
  <c r="C402" i="2"/>
  <c r="D402" i="2" s="1"/>
  <c r="F402" i="2" s="1"/>
  <c r="C403" i="2"/>
  <c r="D403" i="2" s="1"/>
  <c r="F403" i="2" s="1"/>
  <c r="C404" i="2"/>
  <c r="D404" i="2" s="1"/>
  <c r="F404" i="2" s="1"/>
  <c r="C405" i="2"/>
  <c r="D405" i="2" s="1"/>
  <c r="F405" i="2" s="1"/>
  <c r="C406" i="2"/>
  <c r="D406" i="2" s="1"/>
  <c r="F406" i="2" s="1"/>
  <c r="C407" i="2"/>
  <c r="D407" i="2" s="1"/>
  <c r="F407" i="2" s="1"/>
  <c r="C408" i="2"/>
  <c r="D408" i="2" s="1"/>
  <c r="F408" i="2" s="1"/>
  <c r="C409" i="2"/>
  <c r="D409" i="2" s="1"/>
  <c r="F409" i="2" s="1"/>
  <c r="C410" i="2"/>
  <c r="D410" i="2" s="1"/>
  <c r="F410" i="2" s="1"/>
  <c r="C411" i="2"/>
  <c r="D411" i="2" s="1"/>
  <c r="F411" i="2" s="1"/>
  <c r="C412" i="2"/>
  <c r="D412" i="2" s="1"/>
  <c r="F412" i="2" s="1"/>
  <c r="C413" i="2"/>
  <c r="D413" i="2" s="1"/>
  <c r="F413" i="2" s="1"/>
  <c r="C414" i="2"/>
  <c r="D414" i="2" s="1"/>
  <c r="F414" i="2" s="1"/>
  <c r="C415" i="2"/>
  <c r="D415" i="2" s="1"/>
  <c r="F415" i="2" s="1"/>
  <c r="C416" i="2"/>
  <c r="D416" i="2" s="1"/>
  <c r="F416" i="2" s="1"/>
  <c r="C417" i="2"/>
  <c r="D417" i="2" s="1"/>
  <c r="F417" i="2" s="1"/>
  <c r="C418" i="2"/>
  <c r="D418" i="2" s="1"/>
  <c r="F418" i="2" s="1"/>
  <c r="C419" i="2"/>
  <c r="D419" i="2" s="1"/>
  <c r="F419" i="2" s="1"/>
  <c r="C420" i="2"/>
  <c r="D420" i="2" s="1"/>
  <c r="F420" i="2" s="1"/>
  <c r="C421" i="2"/>
  <c r="D421" i="2" s="1"/>
  <c r="F421" i="2" s="1"/>
  <c r="C422" i="2"/>
  <c r="D422" i="2" s="1"/>
  <c r="F422" i="2" s="1"/>
  <c r="C423" i="2"/>
  <c r="D423" i="2" s="1"/>
  <c r="F423" i="2" s="1"/>
  <c r="C424" i="2"/>
  <c r="D424" i="2" s="1"/>
  <c r="F424" i="2" s="1"/>
  <c r="C425" i="2"/>
  <c r="D425" i="2" s="1"/>
  <c r="F425" i="2" s="1"/>
  <c r="C426" i="2"/>
  <c r="D426" i="2" s="1"/>
  <c r="F426" i="2" s="1"/>
  <c r="C427" i="2"/>
  <c r="D427" i="2" s="1"/>
  <c r="F427" i="2" s="1"/>
  <c r="C428" i="2"/>
  <c r="D428" i="2" s="1"/>
  <c r="F428" i="2" s="1"/>
  <c r="C429" i="2"/>
  <c r="D429" i="2" s="1"/>
  <c r="F429" i="2" s="1"/>
  <c r="C430" i="2"/>
  <c r="D430" i="2" s="1"/>
  <c r="F430" i="2" s="1"/>
  <c r="C431" i="2"/>
  <c r="D431" i="2" s="1"/>
  <c r="F431" i="2" s="1"/>
  <c r="C432" i="2"/>
  <c r="D432" i="2" s="1"/>
  <c r="F432" i="2" s="1"/>
  <c r="C433" i="2"/>
  <c r="D433" i="2" s="1"/>
  <c r="F433" i="2" s="1"/>
  <c r="C434" i="2"/>
  <c r="D434" i="2" s="1"/>
  <c r="F434" i="2" s="1"/>
  <c r="C435" i="2"/>
  <c r="D435" i="2" s="1"/>
  <c r="F435" i="2" s="1"/>
  <c r="C436" i="2"/>
  <c r="D436" i="2" s="1"/>
  <c r="F436" i="2" s="1"/>
  <c r="C437" i="2"/>
  <c r="D437" i="2" s="1"/>
  <c r="F437" i="2" s="1"/>
  <c r="C438" i="2"/>
  <c r="D438" i="2" s="1"/>
  <c r="F438" i="2" s="1"/>
  <c r="C439" i="2"/>
  <c r="D439" i="2" s="1"/>
  <c r="F439" i="2" s="1"/>
  <c r="C440" i="2"/>
  <c r="D440" i="2" s="1"/>
  <c r="F440" i="2" s="1"/>
  <c r="C441" i="2"/>
  <c r="D441" i="2" s="1"/>
  <c r="F441" i="2" s="1"/>
  <c r="C442" i="2"/>
  <c r="D442" i="2" s="1"/>
  <c r="F442" i="2" s="1"/>
  <c r="C443" i="2"/>
  <c r="D443" i="2" s="1"/>
  <c r="F443" i="2" s="1"/>
  <c r="C444" i="2"/>
  <c r="D444" i="2" s="1"/>
  <c r="F444" i="2" s="1"/>
  <c r="C445" i="2"/>
  <c r="D445" i="2" s="1"/>
  <c r="F445" i="2" s="1"/>
  <c r="C446" i="2"/>
  <c r="D446" i="2" s="1"/>
  <c r="F446" i="2" s="1"/>
  <c r="C447" i="2"/>
  <c r="D447" i="2" s="1"/>
  <c r="F447" i="2" s="1"/>
  <c r="C448" i="2"/>
  <c r="D448" i="2" s="1"/>
  <c r="F448" i="2" s="1"/>
  <c r="C449" i="2"/>
  <c r="D449" i="2" s="1"/>
  <c r="F449" i="2" s="1"/>
  <c r="C450" i="2"/>
  <c r="D450" i="2" s="1"/>
  <c r="F450" i="2" s="1"/>
  <c r="C451" i="2"/>
  <c r="D451" i="2" s="1"/>
  <c r="F451" i="2" s="1"/>
  <c r="C452" i="2"/>
  <c r="D452" i="2" s="1"/>
  <c r="F452" i="2" s="1"/>
  <c r="C453" i="2"/>
  <c r="D453" i="2" s="1"/>
  <c r="F453" i="2" s="1"/>
  <c r="C454" i="2"/>
  <c r="D454" i="2" s="1"/>
  <c r="F454" i="2" s="1"/>
  <c r="C455" i="2"/>
  <c r="D455" i="2" s="1"/>
  <c r="F455" i="2" s="1"/>
  <c r="C456" i="2"/>
  <c r="D456" i="2" s="1"/>
  <c r="F456" i="2" s="1"/>
  <c r="C457" i="2"/>
  <c r="D457" i="2" s="1"/>
  <c r="F457" i="2" s="1"/>
  <c r="C458" i="2"/>
  <c r="D458" i="2" s="1"/>
  <c r="F458" i="2" s="1"/>
  <c r="C459" i="2"/>
  <c r="D459" i="2" s="1"/>
  <c r="F459" i="2" s="1"/>
  <c r="C460" i="2"/>
  <c r="D460" i="2" s="1"/>
  <c r="F460" i="2" s="1"/>
  <c r="C461" i="2"/>
  <c r="D461" i="2" s="1"/>
  <c r="F461" i="2" s="1"/>
  <c r="C462" i="2"/>
  <c r="D462" i="2" s="1"/>
  <c r="F462" i="2" s="1"/>
  <c r="C463" i="2"/>
  <c r="D463" i="2" s="1"/>
  <c r="F463" i="2" s="1"/>
  <c r="C464" i="2"/>
  <c r="D464" i="2" s="1"/>
  <c r="F464" i="2" s="1"/>
  <c r="C396" i="2" l="1"/>
  <c r="D396" i="2" s="1"/>
  <c r="F396" i="2" s="1"/>
  <c r="C397" i="2"/>
  <c r="D397" i="2" s="1"/>
  <c r="F397" i="2" s="1"/>
  <c r="C398" i="2"/>
  <c r="D398" i="2" s="1"/>
  <c r="F398" i="2" s="1"/>
  <c r="C399" i="2"/>
  <c r="D399" i="2" s="1"/>
  <c r="F399" i="2" s="1"/>
  <c r="C384" i="2"/>
  <c r="D384" i="2" s="1"/>
  <c r="F384" i="2" s="1"/>
  <c r="C390" i="2"/>
  <c r="D390" i="2" s="1"/>
  <c r="F390" i="2" s="1"/>
  <c r="C391" i="2"/>
  <c r="D391" i="2" s="1"/>
  <c r="F391" i="2" s="1"/>
  <c r="C392" i="2"/>
  <c r="D392" i="2" s="1"/>
  <c r="F392" i="2" s="1"/>
  <c r="C393" i="2"/>
  <c r="D393" i="2" s="1"/>
  <c r="F393" i="2" s="1"/>
  <c r="C394" i="2"/>
  <c r="D394" i="2" s="1"/>
  <c r="F394" i="2" s="1"/>
  <c r="C395" i="2"/>
  <c r="D395" i="2" s="1"/>
  <c r="F395" i="2" s="1"/>
  <c r="C382" i="2"/>
  <c r="D382" i="2" s="1"/>
  <c r="F382" i="2" s="1"/>
  <c r="C383" i="2"/>
  <c r="D383" i="2" s="1"/>
  <c r="F383" i="2" s="1"/>
  <c r="C385" i="2"/>
  <c r="D385" i="2" s="1"/>
  <c r="F385" i="2" s="1"/>
  <c r="C386" i="2"/>
  <c r="D386" i="2" s="1"/>
  <c r="F386" i="2" s="1"/>
  <c r="C387" i="2"/>
  <c r="D387" i="2" s="1"/>
  <c r="F387" i="2" s="1"/>
  <c r="C388" i="2"/>
  <c r="D388" i="2" s="1"/>
  <c r="F388" i="2" s="1"/>
  <c r="C389" i="2"/>
  <c r="D389" i="2" s="1"/>
  <c r="F389" i="2" s="1"/>
  <c r="C3" i="2"/>
  <c r="C4" i="2"/>
  <c r="C5" i="2"/>
  <c r="D5" i="2" s="1"/>
  <c r="F5" i="2" s="1"/>
  <c r="C6" i="2"/>
  <c r="C7" i="2"/>
  <c r="C8" i="2"/>
  <c r="C9" i="2"/>
  <c r="D9" i="2" s="1"/>
  <c r="F9" i="2" s="1"/>
  <c r="C10" i="2"/>
  <c r="D10" i="2" s="1"/>
  <c r="C11" i="2"/>
  <c r="C12" i="2"/>
  <c r="C13" i="2"/>
  <c r="C14" i="2"/>
  <c r="C15" i="2"/>
  <c r="C16" i="2"/>
  <c r="C17" i="2"/>
  <c r="D17" i="2" s="1"/>
  <c r="F17" i="2" s="1"/>
  <c r="C18" i="2"/>
  <c r="D18" i="2" s="1"/>
  <c r="C19" i="2"/>
  <c r="C20" i="2"/>
  <c r="C21" i="2"/>
  <c r="D21" i="2" s="1"/>
  <c r="F21" i="2" s="1"/>
  <c r="C22" i="2"/>
  <c r="C23" i="2"/>
  <c r="C24" i="2"/>
  <c r="C25" i="2"/>
  <c r="D25" i="2" s="1"/>
  <c r="F25" i="2" s="1"/>
  <c r="C26" i="2"/>
  <c r="D26" i="2" s="1"/>
  <c r="C27" i="2"/>
  <c r="C28" i="2"/>
  <c r="C29" i="2"/>
  <c r="D29" i="2" s="1"/>
  <c r="F29" i="2" s="1"/>
  <c r="C30" i="2"/>
  <c r="C31" i="2"/>
  <c r="C32" i="2"/>
  <c r="C33" i="2"/>
  <c r="D33" i="2" s="1"/>
  <c r="F33" i="2" s="1"/>
  <c r="C34" i="2"/>
  <c r="D34" i="2" s="1"/>
  <c r="C35" i="2"/>
  <c r="C36" i="2"/>
  <c r="C37" i="2"/>
  <c r="D37" i="2" s="1"/>
  <c r="F37" i="2" s="1"/>
  <c r="C38" i="2"/>
  <c r="C39" i="2"/>
  <c r="C40" i="2"/>
  <c r="C41" i="2"/>
  <c r="D41" i="2" s="1"/>
  <c r="F41" i="2" s="1"/>
  <c r="C42" i="2"/>
  <c r="D42" i="2" s="1"/>
  <c r="C43" i="2"/>
  <c r="C44" i="2"/>
  <c r="C45" i="2"/>
  <c r="D45" i="2" s="1"/>
  <c r="F45" i="2" s="1"/>
  <c r="C46" i="2"/>
  <c r="C47" i="2"/>
  <c r="C48" i="2"/>
  <c r="C49" i="2"/>
  <c r="D49" i="2" s="1"/>
  <c r="F49" i="2" s="1"/>
  <c r="C50" i="2"/>
  <c r="D50" i="2" s="1"/>
  <c r="C51" i="2"/>
  <c r="C52" i="2"/>
  <c r="C53" i="2"/>
  <c r="D53" i="2" s="1"/>
  <c r="F53" i="2" s="1"/>
  <c r="C54" i="2"/>
  <c r="C55" i="2"/>
  <c r="C56" i="2"/>
  <c r="C57" i="2"/>
  <c r="D57" i="2" s="1"/>
  <c r="F57" i="2" s="1"/>
  <c r="C58" i="2"/>
  <c r="D58" i="2" s="1"/>
  <c r="C59" i="2"/>
  <c r="C60" i="2"/>
  <c r="C61" i="2"/>
  <c r="D61" i="2" s="1"/>
  <c r="F61" i="2" s="1"/>
  <c r="C62" i="2"/>
  <c r="C63" i="2"/>
  <c r="C64" i="2"/>
  <c r="C65" i="2"/>
  <c r="D65" i="2" s="1"/>
  <c r="F65" i="2" s="1"/>
  <c r="C66" i="2"/>
  <c r="D66" i="2" s="1"/>
  <c r="C67" i="2"/>
  <c r="C68" i="2"/>
  <c r="C69" i="2"/>
  <c r="D69" i="2" s="1"/>
  <c r="F69" i="2" s="1"/>
  <c r="C70" i="2"/>
  <c r="C71" i="2"/>
  <c r="C72" i="2"/>
  <c r="C73" i="2"/>
  <c r="D73" i="2" s="1"/>
  <c r="F73" i="2" s="1"/>
  <c r="C74" i="2"/>
  <c r="C75" i="2"/>
  <c r="C76" i="2"/>
  <c r="C77" i="2"/>
  <c r="D77" i="2" s="1"/>
  <c r="F77" i="2" s="1"/>
  <c r="C78" i="2"/>
  <c r="C79" i="2"/>
  <c r="C80" i="2"/>
  <c r="C81" i="2"/>
  <c r="D81" i="2" s="1"/>
  <c r="F81" i="2" s="1"/>
  <c r="C82" i="2"/>
  <c r="C83" i="2"/>
  <c r="C84" i="2"/>
  <c r="C85" i="2"/>
  <c r="D85" i="2" s="1"/>
  <c r="F85" i="2" s="1"/>
  <c r="C86" i="2"/>
  <c r="C87" i="2"/>
  <c r="C88" i="2"/>
  <c r="C89" i="2"/>
  <c r="D89" i="2" s="1"/>
  <c r="F89" i="2" s="1"/>
  <c r="C90" i="2"/>
  <c r="C91" i="2"/>
  <c r="C92" i="2"/>
  <c r="D92" i="2" s="1"/>
  <c r="C93" i="2"/>
  <c r="C94" i="2"/>
  <c r="C95" i="2"/>
  <c r="C96" i="2"/>
  <c r="C97" i="2"/>
  <c r="D97" i="2" s="1"/>
  <c r="F97" i="2" s="1"/>
  <c r="C98" i="2"/>
  <c r="D98" i="2" s="1"/>
  <c r="C99" i="2"/>
  <c r="C100" i="2"/>
  <c r="D100" i="2" s="1"/>
  <c r="C101" i="2"/>
  <c r="C102" i="2"/>
  <c r="C103" i="2"/>
  <c r="C104" i="2"/>
  <c r="C105" i="2"/>
  <c r="D105" i="2" s="1"/>
  <c r="F105" i="2" s="1"/>
  <c r="C106" i="2"/>
  <c r="C107" i="2"/>
  <c r="C108" i="2"/>
  <c r="D108" i="2" s="1"/>
  <c r="C109" i="2"/>
  <c r="D109" i="2" s="1"/>
  <c r="F109" i="2" s="1"/>
  <c r="C110" i="2"/>
  <c r="C111" i="2"/>
  <c r="D111" i="2" s="1"/>
  <c r="F111" i="2" s="1"/>
  <c r="C112" i="2"/>
  <c r="D112" i="2" s="1"/>
  <c r="C113" i="2"/>
  <c r="D113" i="2" s="1"/>
  <c r="F113" i="2" s="1"/>
  <c r="C114" i="2"/>
  <c r="C115" i="2"/>
  <c r="C116" i="2"/>
  <c r="C117" i="2"/>
  <c r="D117" i="2" s="1"/>
  <c r="F117" i="2" s="1"/>
  <c r="C118" i="2"/>
  <c r="C119" i="2"/>
  <c r="C120" i="2"/>
  <c r="C121" i="2"/>
  <c r="C122" i="2"/>
  <c r="D122" i="2" s="1"/>
  <c r="C123" i="2"/>
  <c r="D123" i="2" s="1"/>
  <c r="C124" i="2"/>
  <c r="C125" i="2"/>
  <c r="D125" i="2" s="1"/>
  <c r="F125" i="2" s="1"/>
  <c r="C126" i="2"/>
  <c r="C127" i="2"/>
  <c r="C128" i="2"/>
  <c r="C129" i="2"/>
  <c r="D129" i="2" s="1"/>
  <c r="F129" i="2" s="1"/>
  <c r="C130" i="2"/>
  <c r="C131" i="2"/>
  <c r="C132" i="2"/>
  <c r="C133" i="2"/>
  <c r="D133" i="2" s="1"/>
  <c r="F133" i="2" s="1"/>
  <c r="C134" i="2"/>
  <c r="C135" i="2"/>
  <c r="C136" i="2"/>
  <c r="C137" i="2"/>
  <c r="D137" i="2" s="1"/>
  <c r="F137" i="2" s="1"/>
  <c r="C138" i="2"/>
  <c r="D138" i="2" s="1"/>
  <c r="C139" i="2"/>
  <c r="C140" i="2"/>
  <c r="C141" i="2"/>
  <c r="D141" i="2" s="1"/>
  <c r="F141" i="2" s="1"/>
  <c r="C142" i="2"/>
  <c r="C143" i="2"/>
  <c r="C144" i="2"/>
  <c r="C145" i="2"/>
  <c r="C146" i="2"/>
  <c r="D146" i="2" s="1"/>
  <c r="C147" i="2"/>
  <c r="D147" i="2" s="1"/>
  <c r="C148" i="2"/>
  <c r="C149" i="2"/>
  <c r="D149" i="2" s="1"/>
  <c r="F149" i="2" s="1"/>
  <c r="C150" i="2"/>
  <c r="C151" i="2"/>
  <c r="C152" i="2"/>
  <c r="D152" i="2" s="1"/>
  <c r="C153" i="2"/>
  <c r="D153" i="2" s="1"/>
  <c r="F153" i="2" s="1"/>
  <c r="C154" i="2"/>
  <c r="C155" i="2"/>
  <c r="C156" i="2"/>
  <c r="C157" i="2"/>
  <c r="D157" i="2" s="1"/>
  <c r="C158" i="2"/>
  <c r="C159" i="2"/>
  <c r="C160" i="2"/>
  <c r="C161" i="2"/>
  <c r="D161" i="2" s="1"/>
  <c r="F161" i="2" s="1"/>
  <c r="C162" i="2"/>
  <c r="D162" i="2" s="1"/>
  <c r="C163" i="2"/>
  <c r="C164" i="2"/>
  <c r="D164" i="2" s="1"/>
  <c r="C165" i="2"/>
  <c r="D165" i="2" s="1"/>
  <c r="F165" i="2" s="1"/>
  <c r="C166" i="2"/>
  <c r="C167" i="2"/>
  <c r="D167" i="2" s="1"/>
  <c r="F167" i="2" s="1"/>
  <c r="C168" i="2"/>
  <c r="C169" i="2"/>
  <c r="D169" i="2" s="1"/>
  <c r="F169" i="2" s="1"/>
  <c r="C170" i="2"/>
  <c r="C171" i="2"/>
  <c r="C172" i="2"/>
  <c r="D172" i="2" s="1"/>
  <c r="C173" i="2"/>
  <c r="D173" i="2" s="1"/>
  <c r="F173" i="2" s="1"/>
  <c r="C174" i="2"/>
  <c r="C175" i="2"/>
  <c r="C176" i="2"/>
  <c r="D176" i="2" s="1"/>
  <c r="C177" i="2"/>
  <c r="D177" i="2" s="1"/>
  <c r="F177" i="2" s="1"/>
  <c r="C178" i="2"/>
  <c r="C179" i="2"/>
  <c r="C180" i="2"/>
  <c r="D180" i="2" s="1"/>
  <c r="C181" i="2"/>
  <c r="C182" i="2"/>
  <c r="C183" i="2"/>
  <c r="C184" i="2"/>
  <c r="D184" i="2" s="1"/>
  <c r="C185" i="2"/>
  <c r="D185" i="2" s="1"/>
  <c r="F185" i="2" s="1"/>
  <c r="C186" i="2"/>
  <c r="C187" i="2"/>
  <c r="C188" i="2"/>
  <c r="C189" i="2"/>
  <c r="D189" i="2" s="1"/>
  <c r="F189" i="2" s="1"/>
  <c r="C190" i="2"/>
  <c r="C191" i="2"/>
  <c r="C192" i="2"/>
  <c r="C193" i="2"/>
  <c r="D193" i="2" s="1"/>
  <c r="F193" i="2" s="1"/>
  <c r="C194" i="2"/>
  <c r="D194" i="2" s="1"/>
  <c r="F194" i="2" s="1"/>
  <c r="C195" i="2"/>
  <c r="C196" i="2"/>
  <c r="C197" i="2"/>
  <c r="D197" i="2" s="1"/>
  <c r="F197" i="2" s="1"/>
  <c r="C198" i="2"/>
  <c r="C199" i="2"/>
  <c r="C200" i="2"/>
  <c r="C201" i="2"/>
  <c r="D201" i="2" s="1"/>
  <c r="C202" i="2"/>
  <c r="C203" i="2"/>
  <c r="C204" i="2"/>
  <c r="C205" i="2"/>
  <c r="D205" i="2" s="1"/>
  <c r="F205" i="2" s="1"/>
  <c r="C206" i="2"/>
  <c r="C207" i="2"/>
  <c r="D207" i="2" s="1"/>
  <c r="F207" i="2" s="1"/>
  <c r="C208" i="2"/>
  <c r="C209" i="2"/>
  <c r="D209" i="2" s="1"/>
  <c r="F209" i="2" s="1"/>
  <c r="C210" i="2"/>
  <c r="D210" i="2" s="1"/>
  <c r="F210" i="2" s="1"/>
  <c r="C211" i="2"/>
  <c r="C212" i="2"/>
  <c r="C213" i="2"/>
  <c r="D213" i="2" s="1"/>
  <c r="F213" i="2" s="1"/>
  <c r="C214" i="2"/>
  <c r="C215" i="2"/>
  <c r="C216" i="2"/>
  <c r="C217" i="2"/>
  <c r="D217" i="2" s="1"/>
  <c r="C218" i="2"/>
  <c r="C219" i="2"/>
  <c r="C220" i="2"/>
  <c r="C221" i="2"/>
  <c r="D221" i="2" s="1"/>
  <c r="F221" i="2" s="1"/>
  <c r="C222" i="2"/>
  <c r="C223" i="2"/>
  <c r="D223" i="2" s="1"/>
  <c r="F223" i="2" s="1"/>
  <c r="C224" i="2"/>
  <c r="C225" i="2"/>
  <c r="D225" i="2" s="1"/>
  <c r="F225" i="2" s="1"/>
  <c r="C226" i="2"/>
  <c r="D226" i="2" s="1"/>
  <c r="F226" i="2" s="1"/>
  <c r="C227" i="2"/>
  <c r="C228" i="2"/>
  <c r="C229" i="2"/>
  <c r="D229" i="2" s="1"/>
  <c r="F229" i="2" s="1"/>
  <c r="C230" i="2"/>
  <c r="C231" i="2"/>
  <c r="C232" i="2"/>
  <c r="C233" i="2"/>
  <c r="D233" i="2" s="1"/>
  <c r="C234" i="2"/>
  <c r="C235" i="2"/>
  <c r="C236" i="2"/>
  <c r="C237" i="2"/>
  <c r="D237" i="2" s="1"/>
  <c r="F237" i="2" s="1"/>
  <c r="C238" i="2"/>
  <c r="C239" i="2"/>
  <c r="D239" i="2" s="1"/>
  <c r="F239" i="2" s="1"/>
  <c r="C240" i="2"/>
  <c r="C241" i="2"/>
  <c r="D241" i="2" s="1"/>
  <c r="F241" i="2" s="1"/>
  <c r="C242" i="2"/>
  <c r="D242" i="2" s="1"/>
  <c r="F242" i="2" s="1"/>
  <c r="C243" i="2"/>
  <c r="C244" i="2"/>
  <c r="C245" i="2"/>
  <c r="D245" i="2" s="1"/>
  <c r="F245" i="2" s="1"/>
  <c r="C246" i="2"/>
  <c r="C247" i="2"/>
  <c r="C248" i="2"/>
  <c r="C249" i="2"/>
  <c r="D249" i="2" s="1"/>
  <c r="C250" i="2"/>
  <c r="C251" i="2"/>
  <c r="C252" i="2"/>
  <c r="C253" i="2"/>
  <c r="D253" i="2" s="1"/>
  <c r="F253" i="2" s="1"/>
  <c r="C254" i="2"/>
  <c r="C255" i="2"/>
  <c r="D255" i="2" s="1"/>
  <c r="F255" i="2" s="1"/>
  <c r="C256" i="2"/>
  <c r="C257" i="2"/>
  <c r="D257" i="2" s="1"/>
  <c r="F257" i="2" s="1"/>
  <c r="C258" i="2"/>
  <c r="D258" i="2" s="1"/>
  <c r="F258" i="2" s="1"/>
  <c r="C259" i="2"/>
  <c r="C260" i="2"/>
  <c r="D260" i="2" s="1"/>
  <c r="C261" i="2"/>
  <c r="D261" i="2" s="1"/>
  <c r="F261" i="2" s="1"/>
  <c r="C262" i="2"/>
  <c r="C263" i="2"/>
  <c r="D263" i="2" s="1"/>
  <c r="F263" i="2" s="1"/>
  <c r="C264" i="2"/>
  <c r="C265" i="2"/>
  <c r="D265" i="2" s="1"/>
  <c r="F265" i="2" s="1"/>
  <c r="C266" i="2"/>
  <c r="D266" i="2" s="1"/>
  <c r="F266" i="2" s="1"/>
  <c r="C267" i="2"/>
  <c r="D267" i="2" s="1"/>
  <c r="F267" i="2" s="1"/>
  <c r="C268" i="2"/>
  <c r="C269" i="2"/>
  <c r="D269" i="2" s="1"/>
  <c r="F269" i="2" s="1"/>
  <c r="C270" i="2"/>
  <c r="C271" i="2"/>
  <c r="C272" i="2"/>
  <c r="C273" i="2"/>
  <c r="D273" i="2" s="1"/>
  <c r="F273" i="2" s="1"/>
  <c r="C274" i="2"/>
  <c r="D274" i="2" s="1"/>
  <c r="F274" i="2" s="1"/>
  <c r="C275" i="2"/>
  <c r="C276" i="2"/>
  <c r="C277" i="2"/>
  <c r="C278" i="2"/>
  <c r="D278" i="2" s="1"/>
  <c r="C279" i="2"/>
  <c r="C280" i="2"/>
  <c r="C281" i="2"/>
  <c r="D281" i="2" s="1"/>
  <c r="F281" i="2" s="1"/>
  <c r="C282" i="2"/>
  <c r="D282" i="2" s="1"/>
  <c r="C283" i="2"/>
  <c r="D283" i="2" s="1"/>
  <c r="F283" i="2" s="1"/>
  <c r="C284" i="2"/>
  <c r="D284" i="2" s="1"/>
  <c r="F284" i="2" s="1"/>
  <c r="C285" i="2"/>
  <c r="D285" i="2" s="1"/>
  <c r="F285" i="2" s="1"/>
  <c r="C286" i="2"/>
  <c r="D286" i="2" s="1"/>
  <c r="C287" i="2"/>
  <c r="D287" i="2" s="1"/>
  <c r="F287" i="2" s="1"/>
  <c r="C288" i="2"/>
  <c r="C289" i="2"/>
  <c r="D289" i="2" s="1"/>
  <c r="F289" i="2" s="1"/>
  <c r="C290" i="2"/>
  <c r="D290" i="2" s="1"/>
  <c r="F290" i="2" s="1"/>
  <c r="C291" i="2"/>
  <c r="C292" i="2"/>
  <c r="C293" i="2"/>
  <c r="C294" i="2"/>
  <c r="D294" i="2" s="1"/>
  <c r="F294" i="2" s="1"/>
  <c r="C295" i="2"/>
  <c r="D295" i="2" s="1"/>
  <c r="F295" i="2" s="1"/>
  <c r="C296" i="2"/>
  <c r="C297" i="2"/>
  <c r="D297" i="2" s="1"/>
  <c r="F297" i="2" s="1"/>
  <c r="C298" i="2"/>
  <c r="D298" i="2" s="1"/>
  <c r="F298" i="2" s="1"/>
  <c r="C299" i="2"/>
  <c r="D299" i="2" s="1"/>
  <c r="F299" i="2" s="1"/>
  <c r="C300" i="2"/>
  <c r="D300" i="2" s="1"/>
  <c r="F300" i="2" s="1"/>
  <c r="C301" i="2"/>
  <c r="D301" i="2" s="1"/>
  <c r="F301" i="2" s="1"/>
  <c r="C302" i="2"/>
  <c r="D302" i="2" s="1"/>
  <c r="C303" i="2"/>
  <c r="D303" i="2" s="1"/>
  <c r="F303" i="2" s="1"/>
  <c r="C304" i="2"/>
  <c r="D304" i="2" s="1"/>
  <c r="F304" i="2" s="1"/>
  <c r="C305" i="2"/>
  <c r="D305" i="2" s="1"/>
  <c r="F305" i="2" s="1"/>
  <c r="C306" i="2"/>
  <c r="D306" i="2" s="1"/>
  <c r="F306" i="2" s="1"/>
  <c r="C307" i="2"/>
  <c r="C308" i="2"/>
  <c r="D308" i="2" s="1"/>
  <c r="F308" i="2" s="1"/>
  <c r="C309" i="2"/>
  <c r="D309" i="2" s="1"/>
  <c r="F309" i="2" s="1"/>
  <c r="C310" i="2"/>
  <c r="D310" i="2" s="1"/>
  <c r="C311" i="2"/>
  <c r="D311" i="2" s="1"/>
  <c r="F311" i="2" s="1"/>
  <c r="C312" i="2"/>
  <c r="D312" i="2" s="1"/>
  <c r="F312" i="2" s="1"/>
  <c r="C313" i="2"/>
  <c r="D313" i="2" s="1"/>
  <c r="F313" i="2" s="1"/>
  <c r="C314" i="2"/>
  <c r="D314" i="2" s="1"/>
  <c r="C315" i="2"/>
  <c r="C316" i="2"/>
  <c r="D316" i="2" s="1"/>
  <c r="F316" i="2" s="1"/>
  <c r="C317" i="2"/>
  <c r="D317" i="2" s="1"/>
  <c r="F317" i="2" s="1"/>
  <c r="C318" i="2"/>
  <c r="D318" i="2" s="1"/>
  <c r="C319" i="2"/>
  <c r="D319" i="2" s="1"/>
  <c r="F319" i="2" s="1"/>
  <c r="C320" i="2"/>
  <c r="D320" i="2" s="1"/>
  <c r="F320" i="2" s="1"/>
  <c r="C321" i="2"/>
  <c r="D321" i="2" s="1"/>
  <c r="F321" i="2" s="1"/>
  <c r="C322" i="2"/>
  <c r="D322" i="2" s="1"/>
  <c r="F322" i="2" s="1"/>
  <c r="C323" i="2"/>
  <c r="C324" i="2"/>
  <c r="D324" i="2" s="1"/>
  <c r="F324" i="2" s="1"/>
  <c r="C325" i="2"/>
  <c r="D325" i="2" s="1"/>
  <c r="F325" i="2" s="1"/>
  <c r="C326" i="2"/>
  <c r="D326" i="2" s="1"/>
  <c r="C327" i="2"/>
  <c r="D327" i="2" s="1"/>
  <c r="F327" i="2" s="1"/>
  <c r="C328" i="2"/>
  <c r="D328" i="2" s="1"/>
  <c r="F328" i="2" s="1"/>
  <c r="C329" i="2"/>
  <c r="D329" i="2" s="1"/>
  <c r="F329" i="2" s="1"/>
  <c r="C330" i="2"/>
  <c r="D330" i="2" s="1"/>
  <c r="F330" i="2" s="1"/>
  <c r="C331" i="2"/>
  <c r="C332" i="2"/>
  <c r="D332" i="2" s="1"/>
  <c r="F332" i="2" s="1"/>
  <c r="C333" i="2"/>
  <c r="D333" i="2" s="1"/>
  <c r="F333" i="2" s="1"/>
  <c r="C334" i="2"/>
  <c r="D334" i="2" s="1"/>
  <c r="C335" i="2"/>
  <c r="D335" i="2" s="1"/>
  <c r="F335" i="2" s="1"/>
  <c r="C336" i="2"/>
  <c r="D336" i="2" s="1"/>
  <c r="F336" i="2" s="1"/>
  <c r="C337" i="2"/>
  <c r="D337" i="2" s="1"/>
  <c r="F337" i="2" s="1"/>
  <c r="C338" i="2"/>
  <c r="D338" i="2" s="1"/>
  <c r="F338" i="2" s="1"/>
  <c r="C339" i="2"/>
  <c r="D339" i="2" s="1"/>
  <c r="F339" i="2" s="1"/>
  <c r="C340" i="2"/>
  <c r="D340" i="2" s="1"/>
  <c r="F340" i="2" s="1"/>
  <c r="C341" i="2"/>
  <c r="D341" i="2" s="1"/>
  <c r="F341" i="2" s="1"/>
  <c r="C342" i="2"/>
  <c r="D342" i="2" s="1"/>
  <c r="C343" i="2"/>
  <c r="C344" i="2"/>
  <c r="D344" i="2" s="1"/>
  <c r="F344" i="2" s="1"/>
  <c r="C345" i="2"/>
  <c r="D345" i="2" s="1"/>
  <c r="F345" i="2" s="1"/>
  <c r="C346" i="2"/>
  <c r="D346" i="2" s="1"/>
  <c r="F346" i="2" s="1"/>
  <c r="C347" i="2"/>
  <c r="D347" i="2" s="1"/>
  <c r="F347" i="2" s="1"/>
  <c r="C348" i="2"/>
  <c r="D348" i="2" s="1"/>
  <c r="F348" i="2" s="1"/>
  <c r="C349" i="2"/>
  <c r="D349" i="2" s="1"/>
  <c r="F349" i="2" s="1"/>
  <c r="C350" i="2"/>
  <c r="D350" i="2" s="1"/>
  <c r="C351" i="2"/>
  <c r="D351" i="2" s="1"/>
  <c r="F351" i="2" s="1"/>
  <c r="C352" i="2"/>
  <c r="C353" i="2"/>
  <c r="D353" i="2" s="1"/>
  <c r="F353" i="2" s="1"/>
  <c r="C354" i="2"/>
  <c r="D354" i="2" s="1"/>
  <c r="F354" i="2" s="1"/>
  <c r="C355" i="2"/>
  <c r="C356" i="2"/>
  <c r="D356" i="2" s="1"/>
  <c r="F356" i="2" s="1"/>
  <c r="C357" i="2"/>
  <c r="C358" i="2"/>
  <c r="D358" i="2" s="1"/>
  <c r="C359" i="2"/>
  <c r="D359" i="2" s="1"/>
  <c r="F359" i="2" s="1"/>
  <c r="C360" i="2"/>
  <c r="D360" i="2" s="1"/>
  <c r="F360" i="2" s="1"/>
  <c r="C361" i="2"/>
  <c r="D361" i="2" s="1"/>
  <c r="F361" i="2" s="1"/>
  <c r="C362" i="2"/>
  <c r="D362" i="2" s="1"/>
  <c r="F362" i="2" s="1"/>
  <c r="C363" i="2"/>
  <c r="C364" i="2"/>
  <c r="D364" i="2" s="1"/>
  <c r="F364" i="2" s="1"/>
  <c r="C365" i="2"/>
  <c r="D365" i="2" s="1"/>
  <c r="F365" i="2" s="1"/>
  <c r="C366" i="2"/>
  <c r="D366" i="2" s="1"/>
  <c r="F366" i="2" s="1"/>
  <c r="C367" i="2"/>
  <c r="D367" i="2" s="1"/>
  <c r="F367" i="2" s="1"/>
  <c r="C368" i="2"/>
  <c r="C369" i="2"/>
  <c r="D369" i="2" s="1"/>
  <c r="F369" i="2" s="1"/>
  <c r="C370" i="2"/>
  <c r="D370" i="2" s="1"/>
  <c r="F370" i="2" s="1"/>
  <c r="C371" i="2"/>
  <c r="D371" i="2" s="1"/>
  <c r="F371" i="2" s="1"/>
  <c r="C372" i="2"/>
  <c r="D372" i="2" s="1"/>
  <c r="F372" i="2" s="1"/>
  <c r="C373" i="2"/>
  <c r="D373" i="2" s="1"/>
  <c r="F373" i="2" s="1"/>
  <c r="C374" i="2"/>
  <c r="D374" i="2" s="1"/>
  <c r="C375" i="2"/>
  <c r="D375" i="2" s="1"/>
  <c r="F375" i="2" s="1"/>
  <c r="C376" i="2"/>
  <c r="C377" i="2"/>
  <c r="D377" i="2" s="1"/>
  <c r="F377" i="2" s="1"/>
  <c r="C378" i="2"/>
  <c r="D378" i="2" s="1"/>
  <c r="F378" i="2" s="1"/>
  <c r="C379" i="2"/>
  <c r="C380" i="2"/>
  <c r="D380" i="2" s="1"/>
  <c r="F380" i="2" s="1"/>
  <c r="C381" i="2"/>
  <c r="D381" i="2" s="1"/>
  <c r="F381" i="2" s="1"/>
  <c r="C2" i="2"/>
  <c r="G4" i="1"/>
  <c r="G5" i="1"/>
  <c r="E5" i="1"/>
  <c r="E3" i="1"/>
  <c r="E4" i="1"/>
  <c r="E2" i="1"/>
  <c r="D277" i="2"/>
  <c r="F277" i="2" s="1"/>
  <c r="F278" i="2"/>
  <c r="D279" i="2"/>
  <c r="F279" i="2" s="1"/>
  <c r="D280" i="2"/>
  <c r="F280" i="2"/>
  <c r="F282" i="2"/>
  <c r="F286" i="2"/>
  <c r="D288" i="2"/>
  <c r="F288" i="2" s="1"/>
  <c r="D291" i="2"/>
  <c r="F291" i="2" s="1"/>
  <c r="D292" i="2"/>
  <c r="F292" i="2" s="1"/>
  <c r="D293" i="2"/>
  <c r="F293" i="2" s="1"/>
  <c r="D296" i="2"/>
  <c r="F296" i="2" s="1"/>
  <c r="F302" i="2"/>
  <c r="D307" i="2"/>
  <c r="F307" i="2" s="1"/>
  <c r="F310" i="2"/>
  <c r="F314" i="2"/>
  <c r="D315" i="2"/>
  <c r="F315" i="2" s="1"/>
  <c r="F318" i="2"/>
  <c r="D323" i="2"/>
  <c r="F323" i="2" s="1"/>
  <c r="F326" i="2"/>
  <c r="D331" i="2"/>
  <c r="F331" i="2" s="1"/>
  <c r="F334" i="2"/>
  <c r="F342" i="2"/>
  <c r="D343" i="2"/>
  <c r="F343" i="2" s="1"/>
  <c r="F350" i="2"/>
  <c r="D352" i="2"/>
  <c r="F352" i="2" s="1"/>
  <c r="D355" i="2"/>
  <c r="F355" i="2" s="1"/>
  <c r="D357" i="2"/>
  <c r="F357" i="2" s="1"/>
  <c r="F358" i="2"/>
  <c r="D363" i="2"/>
  <c r="F363" i="2" s="1"/>
  <c r="D368" i="2"/>
  <c r="F368" i="2" s="1"/>
  <c r="F374" i="2"/>
  <c r="D376" i="2"/>
  <c r="F376" i="2" s="1"/>
  <c r="D379" i="2"/>
  <c r="F379" i="2" s="1"/>
  <c r="D262" i="2"/>
  <c r="F262" i="2" s="1"/>
  <c r="D264" i="2"/>
  <c r="F264" i="2" s="1"/>
  <c r="D268" i="2"/>
  <c r="F268" i="2" s="1"/>
  <c r="D270" i="2"/>
  <c r="F270" i="2" s="1"/>
  <c r="D271" i="2"/>
  <c r="F271" i="2" s="1"/>
  <c r="D272" i="2"/>
  <c r="F272" i="2" s="1"/>
  <c r="D275" i="2"/>
  <c r="F275" i="2" s="1"/>
  <c r="D276" i="2"/>
  <c r="F276" i="2" s="1"/>
  <c r="F260" i="2"/>
  <c r="D186" i="2"/>
  <c r="F186" i="2" s="1"/>
  <c r="D187" i="2"/>
  <c r="F187" i="2" s="1"/>
  <c r="D188" i="2"/>
  <c r="F188" i="2" s="1"/>
  <c r="D190" i="2"/>
  <c r="F190" i="2" s="1"/>
  <c r="D191" i="2"/>
  <c r="F191" i="2"/>
  <c r="D192" i="2"/>
  <c r="F192" i="2" s="1"/>
  <c r="D195" i="2"/>
  <c r="F195" i="2" s="1"/>
  <c r="D196" i="2"/>
  <c r="F196" i="2" s="1"/>
  <c r="D198" i="2"/>
  <c r="F198" i="2" s="1"/>
  <c r="D199" i="2"/>
  <c r="F199" i="2" s="1"/>
  <c r="D200" i="2"/>
  <c r="F200" i="2" s="1"/>
  <c r="F201" i="2"/>
  <c r="D202" i="2"/>
  <c r="F202" i="2" s="1"/>
  <c r="D203" i="2"/>
  <c r="F203" i="2" s="1"/>
  <c r="D204" i="2"/>
  <c r="F204" i="2" s="1"/>
  <c r="D206" i="2"/>
  <c r="F206" i="2" s="1"/>
  <c r="D208" i="2"/>
  <c r="F208" i="2" s="1"/>
  <c r="D211" i="2"/>
  <c r="F211" i="2" s="1"/>
  <c r="D212" i="2"/>
  <c r="F212" i="2" s="1"/>
  <c r="D214" i="2"/>
  <c r="F214" i="2" s="1"/>
  <c r="D215" i="2"/>
  <c r="F215" i="2" s="1"/>
  <c r="D216" i="2"/>
  <c r="F216" i="2" s="1"/>
  <c r="F217" i="2"/>
  <c r="D218" i="2"/>
  <c r="F218" i="2" s="1"/>
  <c r="D219" i="2"/>
  <c r="F219" i="2" s="1"/>
  <c r="D220" i="2"/>
  <c r="F220" i="2" s="1"/>
  <c r="D222" i="2"/>
  <c r="F222" i="2"/>
  <c r="D224" i="2"/>
  <c r="F224" i="2" s="1"/>
  <c r="D227" i="2"/>
  <c r="F227" i="2" s="1"/>
  <c r="D228" i="2"/>
  <c r="F228" i="2" s="1"/>
  <c r="D230" i="2"/>
  <c r="F230" i="2" s="1"/>
  <c r="D231" i="2"/>
  <c r="F231" i="2" s="1"/>
  <c r="D232" i="2"/>
  <c r="F232" i="2" s="1"/>
  <c r="F233" i="2"/>
  <c r="D234" i="2"/>
  <c r="F234" i="2" s="1"/>
  <c r="D235" i="2"/>
  <c r="F235" i="2" s="1"/>
  <c r="D236" i="2"/>
  <c r="F236" i="2" s="1"/>
  <c r="D238" i="2"/>
  <c r="F238" i="2"/>
  <c r="D240" i="2"/>
  <c r="F240" i="2" s="1"/>
  <c r="D243" i="2"/>
  <c r="F243" i="2" s="1"/>
  <c r="D244" i="2"/>
  <c r="F244" i="2" s="1"/>
  <c r="D246" i="2"/>
  <c r="F246" i="2" s="1"/>
  <c r="D247" i="2"/>
  <c r="F247" i="2" s="1"/>
  <c r="D248" i="2"/>
  <c r="F248" i="2" s="1"/>
  <c r="F249" i="2"/>
  <c r="D250" i="2"/>
  <c r="F250" i="2" s="1"/>
  <c r="D251" i="2"/>
  <c r="F251" i="2" s="1"/>
  <c r="D252" i="2"/>
  <c r="F252" i="2" s="1"/>
  <c r="D254" i="2"/>
  <c r="F254" i="2"/>
  <c r="D256" i="2"/>
  <c r="F256" i="2" s="1"/>
  <c r="D259" i="2"/>
  <c r="F259" i="2" s="1"/>
  <c r="D179" i="2"/>
  <c r="F179" i="2" s="1"/>
  <c r="F180" i="2"/>
  <c r="D181" i="2"/>
  <c r="F181" i="2" s="1"/>
  <c r="D182" i="2"/>
  <c r="F182" i="2" s="1"/>
  <c r="D183" i="2"/>
  <c r="F183" i="2" s="1"/>
  <c r="F184" i="2"/>
  <c r="D79" i="2"/>
  <c r="F79" i="2" s="1"/>
  <c r="D82" i="2"/>
  <c r="F82" i="2" s="1"/>
  <c r="D87" i="2"/>
  <c r="F87" i="2" s="1"/>
  <c r="D91" i="2"/>
  <c r="F91" i="2" s="1"/>
  <c r="D96" i="2"/>
  <c r="F96" i="2" s="1"/>
  <c r="F100" i="2"/>
  <c r="D114" i="2"/>
  <c r="F114" i="2" s="1"/>
  <c r="D119" i="2"/>
  <c r="F119" i="2" s="1"/>
  <c r="F123" i="2"/>
  <c r="D128" i="2"/>
  <c r="F128" i="2" s="1"/>
  <c r="D132" i="2"/>
  <c r="F132" i="2" s="1"/>
  <c r="F146" i="2"/>
  <c r="D151" i="2"/>
  <c r="F151" i="2" s="1"/>
  <c r="D155" i="2"/>
  <c r="F155" i="2" s="1"/>
  <c r="D160" i="2"/>
  <c r="F160" i="2" s="1"/>
  <c r="F164" i="2"/>
  <c r="D178" i="2"/>
  <c r="F178" i="2" s="1"/>
  <c r="D80" i="2"/>
  <c r="F80" i="2" s="1"/>
  <c r="D83" i="2"/>
  <c r="F83" i="2" s="1"/>
  <c r="D84" i="2"/>
  <c r="F84" i="2" s="1"/>
  <c r="D86" i="2"/>
  <c r="F86" i="2" s="1"/>
  <c r="D88" i="2"/>
  <c r="F88" i="2" s="1"/>
  <c r="D90" i="2"/>
  <c r="F90" i="2" s="1"/>
  <c r="F92" i="2"/>
  <c r="D93" i="2"/>
  <c r="F93" i="2" s="1"/>
  <c r="D94" i="2"/>
  <c r="F94" i="2" s="1"/>
  <c r="D95" i="2"/>
  <c r="F95" i="2" s="1"/>
  <c r="F98" i="2"/>
  <c r="D99" i="2"/>
  <c r="F99" i="2" s="1"/>
  <c r="D101" i="2"/>
  <c r="F101" i="2" s="1"/>
  <c r="D102" i="2"/>
  <c r="F102" i="2" s="1"/>
  <c r="D103" i="2"/>
  <c r="F103" i="2" s="1"/>
  <c r="D104" i="2"/>
  <c r="F104" i="2" s="1"/>
  <c r="D106" i="2"/>
  <c r="F106" i="2" s="1"/>
  <c r="D107" i="2"/>
  <c r="F107" i="2" s="1"/>
  <c r="F108" i="2"/>
  <c r="D110" i="2"/>
  <c r="F110" i="2" s="1"/>
  <c r="F112" i="2"/>
  <c r="D115" i="2"/>
  <c r="F115" i="2" s="1"/>
  <c r="D116" i="2"/>
  <c r="F116" i="2" s="1"/>
  <c r="D118" i="2"/>
  <c r="F118" i="2" s="1"/>
  <c r="D120" i="2"/>
  <c r="F120" i="2" s="1"/>
  <c r="D121" i="2"/>
  <c r="F121" i="2" s="1"/>
  <c r="F122" i="2"/>
  <c r="D124" i="2"/>
  <c r="F124" i="2" s="1"/>
  <c r="D126" i="2"/>
  <c r="F126" i="2" s="1"/>
  <c r="D127" i="2"/>
  <c r="F127" i="2" s="1"/>
  <c r="D130" i="2"/>
  <c r="F130" i="2" s="1"/>
  <c r="D131" i="2"/>
  <c r="F131" i="2" s="1"/>
  <c r="D134" i="2"/>
  <c r="F134" i="2" s="1"/>
  <c r="D135" i="2"/>
  <c r="F135" i="2" s="1"/>
  <c r="D136" i="2"/>
  <c r="F136" i="2" s="1"/>
  <c r="F138" i="2"/>
  <c r="D139" i="2"/>
  <c r="F139" i="2" s="1"/>
  <c r="D140" i="2"/>
  <c r="F140" i="2" s="1"/>
  <c r="D142" i="2"/>
  <c r="F142" i="2" s="1"/>
  <c r="D143" i="2"/>
  <c r="F143" i="2" s="1"/>
  <c r="D144" i="2"/>
  <c r="F144" i="2" s="1"/>
  <c r="D145" i="2"/>
  <c r="F145" i="2" s="1"/>
  <c r="F147" i="2"/>
  <c r="D148" i="2"/>
  <c r="F148" i="2" s="1"/>
  <c r="D150" i="2"/>
  <c r="F150" i="2" s="1"/>
  <c r="F152" i="2"/>
  <c r="D154" i="2"/>
  <c r="F154" i="2" s="1"/>
  <c r="D156" i="2"/>
  <c r="F156" i="2" s="1"/>
  <c r="F157" i="2"/>
  <c r="D158" i="2"/>
  <c r="F158" i="2" s="1"/>
  <c r="D159" i="2"/>
  <c r="F159" i="2" s="1"/>
  <c r="F162" i="2"/>
  <c r="D163" i="2"/>
  <c r="F163" i="2" s="1"/>
  <c r="D166" i="2"/>
  <c r="F166" i="2" s="1"/>
  <c r="D168" i="2"/>
  <c r="F168" i="2"/>
  <c r="D170" i="2"/>
  <c r="F170" i="2" s="1"/>
  <c r="D171" i="2"/>
  <c r="F171" i="2" s="1"/>
  <c r="F172" i="2"/>
  <c r="D174" i="2"/>
  <c r="F174" i="2" s="1"/>
  <c r="D175" i="2"/>
  <c r="F175" i="2" s="1"/>
  <c r="F176" i="2"/>
  <c r="D75" i="2"/>
  <c r="F75" i="2"/>
  <c r="D76" i="2"/>
  <c r="F76" i="2" s="1"/>
  <c r="D78" i="2"/>
  <c r="F78" i="2" s="1"/>
  <c r="D74" i="2"/>
  <c r="F74" i="2" s="1"/>
  <c r="D72" i="2"/>
  <c r="F72" i="2" s="1"/>
  <c r="D3" i="2"/>
  <c r="F3" i="2" s="1"/>
  <c r="D4" i="2"/>
  <c r="F4" i="2" s="1"/>
  <c r="D6" i="2"/>
  <c r="F6" i="2" s="1"/>
  <c r="D7" i="2"/>
  <c r="F7" i="2" s="1"/>
  <c r="D8" i="2"/>
  <c r="F8" i="2"/>
  <c r="F10" i="2"/>
  <c r="D11" i="2"/>
  <c r="F11" i="2" s="1"/>
  <c r="D12" i="2"/>
  <c r="F12" i="2" s="1"/>
  <c r="D13" i="2"/>
  <c r="F13" i="2" s="1"/>
  <c r="D14" i="2"/>
  <c r="F14" i="2" s="1"/>
  <c r="D15" i="2"/>
  <c r="F15" i="2" s="1"/>
  <c r="D16" i="2"/>
  <c r="F16" i="2" s="1"/>
  <c r="F18" i="2"/>
  <c r="D19" i="2"/>
  <c r="F19" i="2"/>
  <c r="D20" i="2"/>
  <c r="F20" i="2" s="1"/>
  <c r="D22" i="2"/>
  <c r="F22" i="2" s="1"/>
  <c r="D23" i="2"/>
  <c r="F23" i="2" s="1"/>
  <c r="D24" i="2"/>
  <c r="F24" i="2" s="1"/>
  <c r="F26" i="2"/>
  <c r="D27" i="2"/>
  <c r="F27" i="2" s="1"/>
  <c r="D28" i="2"/>
  <c r="F28" i="2"/>
  <c r="D30" i="2"/>
  <c r="F30" i="2" s="1"/>
  <c r="D31" i="2"/>
  <c r="F31" i="2" s="1"/>
  <c r="D32" i="2"/>
  <c r="F32" i="2" s="1"/>
  <c r="F34" i="2"/>
  <c r="D35" i="2"/>
  <c r="F35" i="2" s="1"/>
  <c r="D36" i="2"/>
  <c r="F36" i="2" s="1"/>
  <c r="D38" i="2"/>
  <c r="F38" i="2" s="1"/>
  <c r="D39" i="2"/>
  <c r="F39" i="2" s="1"/>
  <c r="D40" i="2"/>
  <c r="F40" i="2"/>
  <c r="F42" i="2"/>
  <c r="D43" i="2"/>
  <c r="F43" i="2" s="1"/>
  <c r="D44" i="2"/>
  <c r="F44" i="2" s="1"/>
  <c r="D46" i="2"/>
  <c r="F46" i="2" s="1"/>
  <c r="D47" i="2"/>
  <c r="F47" i="2" s="1"/>
  <c r="D48" i="2"/>
  <c r="F48" i="2" s="1"/>
  <c r="F50" i="2"/>
  <c r="D51" i="2"/>
  <c r="F51" i="2" s="1"/>
  <c r="D52" i="2"/>
  <c r="F52" i="2" s="1"/>
  <c r="D54" i="2"/>
  <c r="F54" i="2" s="1"/>
  <c r="D55" i="2"/>
  <c r="F55" i="2" s="1"/>
  <c r="D56" i="2"/>
  <c r="F56" i="2" s="1"/>
  <c r="F58" i="2"/>
  <c r="D59" i="2"/>
  <c r="F59" i="2"/>
  <c r="D60" i="2"/>
  <c r="F60" i="2" s="1"/>
  <c r="D62" i="2"/>
  <c r="F62" i="2" s="1"/>
  <c r="D63" i="2"/>
  <c r="F63" i="2" s="1"/>
  <c r="D64" i="2"/>
  <c r="F64" i="2" s="1"/>
  <c r="F66" i="2"/>
  <c r="D67" i="2"/>
  <c r="F67" i="2" s="1"/>
  <c r="D68" i="2"/>
  <c r="F68" i="2" s="1"/>
  <c r="D70" i="2"/>
  <c r="F70" i="2" s="1"/>
  <c r="D71" i="2"/>
  <c r="F71" i="2" s="1"/>
  <c r="D2" i="2"/>
  <c r="F2" i="2"/>
  <c r="G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CE7C70-E0DB-47B5-A35C-DE98214652A4}" keepAlive="1" name="查询 - fund_value_simple" description="与工作簿中“fund_value_simple”查询的连接。" type="5" refreshedVersion="6" background="1" saveData="1">
    <dbPr connection="Provider=Microsoft.Mashup.OleDb.1;Data Source=$Workbook$;Location=fund_value_simple;Extended Properties=&quot;&quot;" command="SELECT * FROM [fund_value_simple]"/>
  </connection>
</connections>
</file>

<file path=xl/sharedStrings.xml><?xml version="1.0" encoding="utf-8"?>
<sst xmlns="http://schemas.openxmlformats.org/spreadsheetml/2006/main" count="37" uniqueCount="32">
  <si>
    <t>交易日期</t>
    <phoneticPr fontId="2" type="noConversion"/>
  </si>
  <si>
    <t>申购</t>
    <phoneticPr fontId="2" type="noConversion"/>
  </si>
  <si>
    <t>交易性质</t>
    <phoneticPr fontId="2" type="noConversion"/>
  </si>
  <si>
    <t>交易金额</t>
    <phoneticPr fontId="2" type="noConversion"/>
  </si>
  <si>
    <t>基金净值</t>
    <phoneticPr fontId="2" type="noConversion"/>
  </si>
  <si>
    <t>交易份额</t>
    <phoneticPr fontId="2" type="noConversion"/>
  </si>
  <si>
    <t>基金净值（前一日）</t>
    <phoneticPr fontId="2" type="noConversion"/>
  </si>
  <si>
    <t>总金额</t>
    <phoneticPr fontId="2" type="noConversion"/>
  </si>
  <si>
    <t>总份额</t>
    <phoneticPr fontId="2" type="noConversion"/>
  </si>
  <si>
    <t>基金总金额</t>
    <phoneticPr fontId="2" type="noConversion"/>
  </si>
  <si>
    <t>原始金额</t>
    <phoneticPr fontId="2" type="noConversion"/>
  </si>
  <si>
    <t>盈亏</t>
    <phoneticPr fontId="2" type="noConversion"/>
  </si>
  <si>
    <t>净值日期</t>
    <phoneticPr fontId="2" type="noConversion"/>
  </si>
  <si>
    <t>申购</t>
    <phoneticPr fontId="2" type="noConversion"/>
  </si>
  <si>
    <t>Column1</t>
  </si>
  <si>
    <t>持仓金额</t>
  </si>
  <si>
    <t>账面现金</t>
  </si>
  <si>
    <t>基金申赎</t>
  </si>
  <si>
    <t>总资产</t>
  </si>
  <si>
    <t>份额确认</t>
  </si>
  <si>
    <t>基金份额</t>
  </si>
  <si>
    <t>基金净值</t>
  </si>
  <si>
    <t>行标签</t>
  </si>
  <si>
    <t>总计</t>
  </si>
  <si>
    <t>(空白)</t>
  </si>
  <si>
    <t>求和项:盈利金额</t>
  </si>
  <si>
    <t>净值日期</t>
  </si>
  <si>
    <t>总份额</t>
  </si>
  <si>
    <t>基金总金额</t>
  </si>
  <si>
    <t>原始金额</t>
  </si>
  <si>
    <t>盈亏</t>
  </si>
  <si>
    <t>求和项:原始金额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</si>
</sst>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 "/>
    <numFmt numFmtId="177" formatCode="0.000_ "/>
  </numFmts>
  <fonts count="3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3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0" fontId="0" fillId="0" borderId="0" xfId="1" applyNumberFormat="1" applyFont="1" applyAlignment="1"/>
    <xf numFmtId="176" fontId="0" fillId="0" borderId="0" xfId="0" applyNumberFormat="1"/>
    <xf numFmtId="177" fontId="0" fillId="0" borderId="0" xfId="0" applyNumberFormat="1"/>
    <xf numFmtId="0" fontId="0" fillId="0" borderId="0" xfId="0" applyAlignment="1">
      <alignment horizontal="right"/>
    </xf>
    <xf numFmtId="177" fontId="0" fillId="0" borderId="0" xfId="0" applyNumberFormat="1" applyAlignment="1">
      <alignment horizontal="right"/>
    </xf>
    <xf numFmtId="176" fontId="0" fillId="0" borderId="0" xfId="0" applyNumberFormat="1" applyAlignment="1">
      <alignment horizontal="right"/>
    </xf>
    <xf numFmtId="10" fontId="0" fillId="0" borderId="0" xfId="1" applyNumberFormat="1" applyFont="1" applyAlignment="1">
      <alignment horizontal="right"/>
    </xf>
    <xf numFmtId="0" fontId="0" fillId="0" borderId="1" xfId="0" applyFont="1" applyBorder="1"/>
    <xf numFmtId="14" fontId="0" fillId="2" borderId="2" xfId="0" applyNumberFormat="1" applyFont="1" applyFill="1" applyBorder="1"/>
    <xf numFmtId="14" fontId="0" fillId="0" borderId="2" xfId="0" applyNumberFormat="1" applyFont="1" applyBorder="1"/>
    <xf numFmtId="0" fontId="0" fillId="0" borderId="0" xfId="0" applyNumberFormat="1"/>
    <xf numFmtId="0" fontId="0" fillId="0" borderId="0" xfId="0" pivotButton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</cellXfs>
  <cellStyles count="2">
    <cellStyle name="百分比" xfId="1" builtinId="5"/>
    <cellStyle name="常规" xfId="0" builtinId="0"/>
  </cellStyles>
  <dxfs count="2">
    <dxf>
      <numFmt numFmtId="19" formatCode="yyyy/m/d"/>
    </dxf>
    <dxf>
      <numFmt numFmtId="19" formatCode="yyyy/m/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[郭雯ETF净值表.xlsx]Sheet1!数据透视表2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Sheet1!$C$3</c:f>
              <c:strCache>
                <c:ptCount val="1"/>
                <c:pt idx="0">
                  <c:v>求和项:原始金额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Sheet1!$A$4:$A$516</c:f>
              <c:strCache>
                <c:ptCount val="512"/>
                <c:pt idx="0">
                  <c:v>2018/11/27</c:v>
                </c:pt>
                <c:pt idx="1">
                  <c:v>2018/11/28</c:v>
                </c:pt>
                <c:pt idx="2">
                  <c:v>2018/11/29</c:v>
                </c:pt>
                <c:pt idx="3">
                  <c:v>2018/11/30</c:v>
                </c:pt>
                <c:pt idx="4">
                  <c:v>2018/12/3</c:v>
                </c:pt>
                <c:pt idx="5">
                  <c:v>2018/12/4</c:v>
                </c:pt>
                <c:pt idx="6">
                  <c:v>2018/12/5</c:v>
                </c:pt>
                <c:pt idx="7">
                  <c:v>2018/12/6</c:v>
                </c:pt>
                <c:pt idx="8">
                  <c:v>2018/12/7</c:v>
                </c:pt>
                <c:pt idx="9">
                  <c:v>2018/12/10</c:v>
                </c:pt>
                <c:pt idx="10">
                  <c:v>2018/12/11</c:v>
                </c:pt>
                <c:pt idx="11">
                  <c:v>2018/12/12</c:v>
                </c:pt>
                <c:pt idx="12">
                  <c:v>2018/12/13</c:v>
                </c:pt>
                <c:pt idx="13">
                  <c:v>2018/12/14</c:v>
                </c:pt>
                <c:pt idx="14">
                  <c:v>2018/12/17</c:v>
                </c:pt>
                <c:pt idx="15">
                  <c:v>2018/12/18</c:v>
                </c:pt>
                <c:pt idx="16">
                  <c:v>2018/12/19</c:v>
                </c:pt>
                <c:pt idx="17">
                  <c:v>2018/12/20</c:v>
                </c:pt>
                <c:pt idx="18">
                  <c:v>2018/12/21</c:v>
                </c:pt>
                <c:pt idx="19">
                  <c:v>2018/12/24</c:v>
                </c:pt>
                <c:pt idx="20">
                  <c:v>2018/12/25</c:v>
                </c:pt>
                <c:pt idx="21">
                  <c:v>2018/12/26</c:v>
                </c:pt>
                <c:pt idx="22">
                  <c:v>2018/12/27</c:v>
                </c:pt>
                <c:pt idx="23">
                  <c:v>2018/12/28</c:v>
                </c:pt>
                <c:pt idx="24">
                  <c:v>2019/1/2</c:v>
                </c:pt>
                <c:pt idx="25">
                  <c:v>2019/1/3</c:v>
                </c:pt>
                <c:pt idx="26">
                  <c:v>2019/1/4</c:v>
                </c:pt>
                <c:pt idx="27">
                  <c:v>2019/1/7</c:v>
                </c:pt>
                <c:pt idx="28">
                  <c:v>2019/1/8</c:v>
                </c:pt>
                <c:pt idx="29">
                  <c:v>2019/1/9</c:v>
                </c:pt>
                <c:pt idx="30">
                  <c:v>2019/1/10</c:v>
                </c:pt>
                <c:pt idx="31">
                  <c:v>2019/1/11</c:v>
                </c:pt>
                <c:pt idx="32">
                  <c:v>2019/1/14</c:v>
                </c:pt>
                <c:pt idx="33">
                  <c:v>2019/1/15</c:v>
                </c:pt>
                <c:pt idx="34">
                  <c:v>2019/1/16</c:v>
                </c:pt>
                <c:pt idx="35">
                  <c:v>2019/1/17</c:v>
                </c:pt>
                <c:pt idx="36">
                  <c:v>2019/1/18</c:v>
                </c:pt>
                <c:pt idx="37">
                  <c:v>2019/1/21</c:v>
                </c:pt>
                <c:pt idx="38">
                  <c:v>2019/1/22</c:v>
                </c:pt>
                <c:pt idx="39">
                  <c:v>2019/1/23</c:v>
                </c:pt>
                <c:pt idx="40">
                  <c:v>2019/1/24</c:v>
                </c:pt>
                <c:pt idx="41">
                  <c:v>2019/1/25</c:v>
                </c:pt>
                <c:pt idx="42">
                  <c:v>2019/1/28</c:v>
                </c:pt>
                <c:pt idx="43">
                  <c:v>2019/1/29</c:v>
                </c:pt>
                <c:pt idx="44">
                  <c:v>2019/1/30</c:v>
                </c:pt>
                <c:pt idx="45">
                  <c:v>2019/1/31</c:v>
                </c:pt>
                <c:pt idx="46">
                  <c:v>2019/2/1</c:v>
                </c:pt>
                <c:pt idx="47">
                  <c:v>2019/2/11</c:v>
                </c:pt>
                <c:pt idx="48">
                  <c:v>2019/2/12</c:v>
                </c:pt>
                <c:pt idx="49">
                  <c:v>2019/2/13</c:v>
                </c:pt>
                <c:pt idx="50">
                  <c:v>2019/2/14</c:v>
                </c:pt>
                <c:pt idx="51">
                  <c:v>2019/2/15</c:v>
                </c:pt>
                <c:pt idx="52">
                  <c:v>2019/2/18</c:v>
                </c:pt>
                <c:pt idx="53">
                  <c:v>2019/2/19</c:v>
                </c:pt>
                <c:pt idx="54">
                  <c:v>2019/2/20</c:v>
                </c:pt>
                <c:pt idx="55">
                  <c:v>2019/2/21</c:v>
                </c:pt>
                <c:pt idx="56">
                  <c:v>2019/2/22</c:v>
                </c:pt>
                <c:pt idx="57">
                  <c:v>2019/2/25</c:v>
                </c:pt>
                <c:pt idx="58">
                  <c:v>2019/2/26</c:v>
                </c:pt>
                <c:pt idx="59">
                  <c:v>2019/2/27</c:v>
                </c:pt>
                <c:pt idx="60">
                  <c:v>2019/2/28</c:v>
                </c:pt>
                <c:pt idx="61">
                  <c:v>2019/3/1</c:v>
                </c:pt>
                <c:pt idx="62">
                  <c:v>2019/3/4</c:v>
                </c:pt>
                <c:pt idx="63">
                  <c:v>2019/3/5</c:v>
                </c:pt>
                <c:pt idx="64">
                  <c:v>2019/3/6</c:v>
                </c:pt>
                <c:pt idx="65">
                  <c:v>2019/3/7</c:v>
                </c:pt>
                <c:pt idx="66">
                  <c:v>2019/3/8</c:v>
                </c:pt>
                <c:pt idx="67">
                  <c:v>2019/3/11</c:v>
                </c:pt>
                <c:pt idx="68">
                  <c:v>2019/3/12</c:v>
                </c:pt>
                <c:pt idx="69">
                  <c:v>2019/3/13</c:v>
                </c:pt>
                <c:pt idx="70">
                  <c:v>2019/3/14</c:v>
                </c:pt>
                <c:pt idx="71">
                  <c:v>2019/3/15</c:v>
                </c:pt>
                <c:pt idx="72">
                  <c:v>2019/3/18</c:v>
                </c:pt>
                <c:pt idx="73">
                  <c:v>2019/3/19</c:v>
                </c:pt>
                <c:pt idx="74">
                  <c:v>2019/3/20</c:v>
                </c:pt>
                <c:pt idx="75">
                  <c:v>2019/3/21</c:v>
                </c:pt>
                <c:pt idx="76">
                  <c:v>2019/3/22</c:v>
                </c:pt>
                <c:pt idx="77">
                  <c:v>2019/3/25</c:v>
                </c:pt>
                <c:pt idx="78">
                  <c:v>2019/3/26</c:v>
                </c:pt>
                <c:pt idx="79">
                  <c:v>2019/3/27</c:v>
                </c:pt>
                <c:pt idx="80">
                  <c:v>2019/3/28</c:v>
                </c:pt>
                <c:pt idx="81">
                  <c:v>2019/3/29</c:v>
                </c:pt>
                <c:pt idx="82">
                  <c:v>2019/4/1</c:v>
                </c:pt>
                <c:pt idx="83">
                  <c:v>2019/4/2</c:v>
                </c:pt>
                <c:pt idx="84">
                  <c:v>2019/4/3</c:v>
                </c:pt>
                <c:pt idx="85">
                  <c:v>2019/4/4</c:v>
                </c:pt>
                <c:pt idx="86">
                  <c:v>2019/4/8</c:v>
                </c:pt>
                <c:pt idx="87">
                  <c:v>2019/4/9</c:v>
                </c:pt>
                <c:pt idx="88">
                  <c:v>2019/4/10</c:v>
                </c:pt>
                <c:pt idx="89">
                  <c:v>2019/4/11</c:v>
                </c:pt>
                <c:pt idx="90">
                  <c:v>2019/4/12</c:v>
                </c:pt>
                <c:pt idx="91">
                  <c:v>2019/4/15</c:v>
                </c:pt>
                <c:pt idx="92">
                  <c:v>2019/4/16</c:v>
                </c:pt>
                <c:pt idx="93">
                  <c:v>2019/4/17</c:v>
                </c:pt>
                <c:pt idx="94">
                  <c:v>2019/4/18</c:v>
                </c:pt>
                <c:pt idx="95">
                  <c:v>2019/4/19</c:v>
                </c:pt>
                <c:pt idx="96">
                  <c:v>2019/4/22</c:v>
                </c:pt>
                <c:pt idx="97">
                  <c:v>2019/4/23</c:v>
                </c:pt>
                <c:pt idx="98">
                  <c:v>2019/4/24</c:v>
                </c:pt>
                <c:pt idx="99">
                  <c:v>2019/4/25</c:v>
                </c:pt>
                <c:pt idx="100">
                  <c:v>2019/4/26</c:v>
                </c:pt>
                <c:pt idx="101">
                  <c:v>2019/4/29</c:v>
                </c:pt>
                <c:pt idx="102">
                  <c:v>2019/4/30</c:v>
                </c:pt>
                <c:pt idx="103">
                  <c:v>2019/5/6</c:v>
                </c:pt>
                <c:pt idx="104">
                  <c:v>2019/5/7</c:v>
                </c:pt>
                <c:pt idx="105">
                  <c:v>2019/5/8</c:v>
                </c:pt>
                <c:pt idx="106">
                  <c:v>2019/5/9</c:v>
                </c:pt>
                <c:pt idx="107">
                  <c:v>2019/5/10</c:v>
                </c:pt>
                <c:pt idx="108">
                  <c:v>2019/5/13</c:v>
                </c:pt>
                <c:pt idx="109">
                  <c:v>2019/5/14</c:v>
                </c:pt>
                <c:pt idx="110">
                  <c:v>2019/5/15</c:v>
                </c:pt>
                <c:pt idx="111">
                  <c:v>2019/5/16</c:v>
                </c:pt>
                <c:pt idx="112">
                  <c:v>2019/5/17</c:v>
                </c:pt>
                <c:pt idx="113">
                  <c:v>2019/5/20</c:v>
                </c:pt>
                <c:pt idx="114">
                  <c:v>2019/5/21</c:v>
                </c:pt>
                <c:pt idx="115">
                  <c:v>2019/5/22</c:v>
                </c:pt>
                <c:pt idx="116">
                  <c:v>2019/5/23</c:v>
                </c:pt>
                <c:pt idx="117">
                  <c:v>2019/5/24</c:v>
                </c:pt>
                <c:pt idx="118">
                  <c:v>2019/5/27</c:v>
                </c:pt>
                <c:pt idx="119">
                  <c:v>2019/5/28</c:v>
                </c:pt>
                <c:pt idx="120">
                  <c:v>2019/5/29</c:v>
                </c:pt>
                <c:pt idx="121">
                  <c:v>2019/5/30</c:v>
                </c:pt>
                <c:pt idx="122">
                  <c:v>2019/5/31</c:v>
                </c:pt>
                <c:pt idx="123">
                  <c:v>2019/6/3</c:v>
                </c:pt>
                <c:pt idx="124">
                  <c:v>2019/6/4</c:v>
                </c:pt>
                <c:pt idx="125">
                  <c:v>2019/6/5</c:v>
                </c:pt>
                <c:pt idx="126">
                  <c:v>2019/6/6</c:v>
                </c:pt>
                <c:pt idx="127">
                  <c:v>2019/6/10</c:v>
                </c:pt>
                <c:pt idx="128">
                  <c:v>2019/6/11</c:v>
                </c:pt>
                <c:pt idx="129">
                  <c:v>2019/6/12</c:v>
                </c:pt>
                <c:pt idx="130">
                  <c:v>2019/6/13</c:v>
                </c:pt>
                <c:pt idx="131">
                  <c:v>2019/6/14</c:v>
                </c:pt>
                <c:pt idx="132">
                  <c:v>2019/6/17</c:v>
                </c:pt>
                <c:pt idx="133">
                  <c:v>2019/6/18</c:v>
                </c:pt>
                <c:pt idx="134">
                  <c:v>2019/6/19</c:v>
                </c:pt>
                <c:pt idx="135">
                  <c:v>2019/6/20</c:v>
                </c:pt>
                <c:pt idx="136">
                  <c:v>2019/6/21</c:v>
                </c:pt>
                <c:pt idx="137">
                  <c:v>2019/6/24</c:v>
                </c:pt>
                <c:pt idx="138">
                  <c:v>2019/6/25</c:v>
                </c:pt>
                <c:pt idx="139">
                  <c:v>2019/6/26</c:v>
                </c:pt>
                <c:pt idx="140">
                  <c:v>2019/6/27</c:v>
                </c:pt>
                <c:pt idx="141">
                  <c:v>2019/6/28</c:v>
                </c:pt>
                <c:pt idx="142">
                  <c:v>2019/7/1</c:v>
                </c:pt>
                <c:pt idx="143">
                  <c:v>2019/7/2</c:v>
                </c:pt>
                <c:pt idx="144">
                  <c:v>2019/7/3</c:v>
                </c:pt>
                <c:pt idx="145">
                  <c:v>2019/7/4</c:v>
                </c:pt>
                <c:pt idx="146">
                  <c:v>2019/7/5</c:v>
                </c:pt>
                <c:pt idx="147">
                  <c:v>2019/7/8</c:v>
                </c:pt>
                <c:pt idx="148">
                  <c:v>2019/7/9</c:v>
                </c:pt>
                <c:pt idx="149">
                  <c:v>2019/7/10</c:v>
                </c:pt>
                <c:pt idx="150">
                  <c:v>2019/7/11</c:v>
                </c:pt>
                <c:pt idx="151">
                  <c:v>2019/7/12</c:v>
                </c:pt>
                <c:pt idx="152">
                  <c:v>2019/7/15</c:v>
                </c:pt>
                <c:pt idx="153">
                  <c:v>2019/7/16</c:v>
                </c:pt>
                <c:pt idx="154">
                  <c:v>2019/7/17</c:v>
                </c:pt>
                <c:pt idx="155">
                  <c:v>2019/7/18</c:v>
                </c:pt>
                <c:pt idx="156">
                  <c:v>2019/7/19</c:v>
                </c:pt>
                <c:pt idx="157">
                  <c:v>2019/7/22</c:v>
                </c:pt>
                <c:pt idx="158">
                  <c:v>2019/7/23</c:v>
                </c:pt>
                <c:pt idx="159">
                  <c:v>2019/7/24</c:v>
                </c:pt>
                <c:pt idx="160">
                  <c:v>2019/7/25</c:v>
                </c:pt>
                <c:pt idx="161">
                  <c:v>2019/7/26</c:v>
                </c:pt>
                <c:pt idx="162">
                  <c:v>2019/7/29</c:v>
                </c:pt>
                <c:pt idx="163">
                  <c:v>2019/7/30</c:v>
                </c:pt>
                <c:pt idx="164">
                  <c:v>2019/7/31</c:v>
                </c:pt>
                <c:pt idx="165">
                  <c:v>2019/8/1</c:v>
                </c:pt>
                <c:pt idx="166">
                  <c:v>2019/8/2</c:v>
                </c:pt>
                <c:pt idx="167">
                  <c:v>2019/8/5</c:v>
                </c:pt>
                <c:pt idx="168">
                  <c:v>2019/8/6</c:v>
                </c:pt>
                <c:pt idx="169">
                  <c:v>2019/8/7</c:v>
                </c:pt>
                <c:pt idx="170">
                  <c:v>2019/8/8</c:v>
                </c:pt>
                <c:pt idx="171">
                  <c:v>2019/8/9</c:v>
                </c:pt>
                <c:pt idx="172">
                  <c:v>2019/8/12</c:v>
                </c:pt>
                <c:pt idx="173">
                  <c:v>2019/8/13</c:v>
                </c:pt>
                <c:pt idx="174">
                  <c:v>2019/8/14</c:v>
                </c:pt>
                <c:pt idx="175">
                  <c:v>2019/8/15</c:v>
                </c:pt>
                <c:pt idx="176">
                  <c:v>2019/8/16</c:v>
                </c:pt>
                <c:pt idx="177">
                  <c:v>2019/8/19</c:v>
                </c:pt>
                <c:pt idx="178">
                  <c:v>2019/8/20</c:v>
                </c:pt>
                <c:pt idx="179">
                  <c:v>2019/8/21</c:v>
                </c:pt>
                <c:pt idx="180">
                  <c:v>2019/8/22</c:v>
                </c:pt>
                <c:pt idx="181">
                  <c:v>2019/8/23</c:v>
                </c:pt>
                <c:pt idx="182">
                  <c:v>2019/8/26</c:v>
                </c:pt>
                <c:pt idx="183">
                  <c:v>2019/8/27</c:v>
                </c:pt>
                <c:pt idx="184">
                  <c:v>2019/8/28</c:v>
                </c:pt>
                <c:pt idx="185">
                  <c:v>2019/8/29</c:v>
                </c:pt>
                <c:pt idx="186">
                  <c:v>2019/8/30</c:v>
                </c:pt>
                <c:pt idx="187">
                  <c:v>2019/9/2</c:v>
                </c:pt>
                <c:pt idx="188">
                  <c:v>2019/9/3</c:v>
                </c:pt>
                <c:pt idx="189">
                  <c:v>2019/9/4</c:v>
                </c:pt>
                <c:pt idx="190">
                  <c:v>2019/9/5</c:v>
                </c:pt>
                <c:pt idx="191">
                  <c:v>2019/9/6</c:v>
                </c:pt>
                <c:pt idx="192">
                  <c:v>2019/9/9</c:v>
                </c:pt>
                <c:pt idx="193">
                  <c:v>2019/9/10</c:v>
                </c:pt>
                <c:pt idx="194">
                  <c:v>2019/9/11</c:v>
                </c:pt>
                <c:pt idx="195">
                  <c:v>2019/9/12</c:v>
                </c:pt>
                <c:pt idx="196">
                  <c:v>2019/9/16</c:v>
                </c:pt>
                <c:pt idx="197">
                  <c:v>2019/9/17</c:v>
                </c:pt>
                <c:pt idx="198">
                  <c:v>2019/9/18</c:v>
                </c:pt>
                <c:pt idx="199">
                  <c:v>2019/9/19</c:v>
                </c:pt>
                <c:pt idx="200">
                  <c:v>2019/9/20</c:v>
                </c:pt>
                <c:pt idx="201">
                  <c:v>2019/9/23</c:v>
                </c:pt>
                <c:pt idx="202">
                  <c:v>2019/9/24</c:v>
                </c:pt>
                <c:pt idx="203">
                  <c:v>2019/9/25</c:v>
                </c:pt>
                <c:pt idx="204">
                  <c:v>2019/9/26</c:v>
                </c:pt>
                <c:pt idx="205">
                  <c:v>2019/9/27</c:v>
                </c:pt>
                <c:pt idx="206">
                  <c:v>2019/9/30</c:v>
                </c:pt>
                <c:pt idx="207">
                  <c:v>2019/10/8</c:v>
                </c:pt>
                <c:pt idx="208">
                  <c:v>2019/10/9</c:v>
                </c:pt>
                <c:pt idx="209">
                  <c:v>2019/10/10</c:v>
                </c:pt>
                <c:pt idx="210">
                  <c:v>2019/10/11</c:v>
                </c:pt>
                <c:pt idx="211">
                  <c:v>2019/10/14</c:v>
                </c:pt>
                <c:pt idx="212">
                  <c:v>2019/10/15</c:v>
                </c:pt>
                <c:pt idx="213">
                  <c:v>2019/10/16</c:v>
                </c:pt>
                <c:pt idx="214">
                  <c:v>2019/10/17</c:v>
                </c:pt>
                <c:pt idx="215">
                  <c:v>2019/10/18</c:v>
                </c:pt>
                <c:pt idx="216">
                  <c:v>2019/10/21</c:v>
                </c:pt>
                <c:pt idx="217">
                  <c:v>2019/10/22</c:v>
                </c:pt>
                <c:pt idx="218">
                  <c:v>2019/10/23</c:v>
                </c:pt>
                <c:pt idx="219">
                  <c:v>2019/10/24</c:v>
                </c:pt>
                <c:pt idx="220">
                  <c:v>2019/10/25</c:v>
                </c:pt>
                <c:pt idx="221">
                  <c:v>2019/10/28</c:v>
                </c:pt>
                <c:pt idx="222">
                  <c:v>2019/10/29</c:v>
                </c:pt>
                <c:pt idx="223">
                  <c:v>2019/10/30</c:v>
                </c:pt>
                <c:pt idx="224">
                  <c:v>2019/10/31</c:v>
                </c:pt>
                <c:pt idx="225">
                  <c:v>2019/11/1</c:v>
                </c:pt>
                <c:pt idx="226">
                  <c:v>2019/11/4</c:v>
                </c:pt>
                <c:pt idx="227">
                  <c:v>2019/11/5</c:v>
                </c:pt>
                <c:pt idx="228">
                  <c:v>2019/11/6</c:v>
                </c:pt>
                <c:pt idx="229">
                  <c:v>2019/11/7</c:v>
                </c:pt>
                <c:pt idx="230">
                  <c:v>2019/11/8</c:v>
                </c:pt>
                <c:pt idx="231">
                  <c:v>2019/11/11</c:v>
                </c:pt>
                <c:pt idx="232">
                  <c:v>2019/11/12</c:v>
                </c:pt>
                <c:pt idx="233">
                  <c:v>2019/11/13</c:v>
                </c:pt>
                <c:pt idx="234">
                  <c:v>2019/11/14</c:v>
                </c:pt>
                <c:pt idx="235">
                  <c:v>2019/11/15</c:v>
                </c:pt>
                <c:pt idx="236">
                  <c:v>2019/11/18</c:v>
                </c:pt>
                <c:pt idx="237">
                  <c:v>2019/11/19</c:v>
                </c:pt>
                <c:pt idx="238">
                  <c:v>2019/11/20</c:v>
                </c:pt>
                <c:pt idx="239">
                  <c:v>2019/11/21</c:v>
                </c:pt>
                <c:pt idx="240">
                  <c:v>2019/11/22</c:v>
                </c:pt>
                <c:pt idx="241">
                  <c:v>2019/11/25</c:v>
                </c:pt>
                <c:pt idx="242">
                  <c:v>2019/11/26</c:v>
                </c:pt>
                <c:pt idx="243">
                  <c:v>2019/11/27</c:v>
                </c:pt>
                <c:pt idx="244">
                  <c:v>2019/11/28</c:v>
                </c:pt>
                <c:pt idx="245">
                  <c:v>2019/11/29</c:v>
                </c:pt>
                <c:pt idx="246">
                  <c:v>2019/12/2</c:v>
                </c:pt>
                <c:pt idx="247">
                  <c:v>2019/12/3</c:v>
                </c:pt>
                <c:pt idx="248">
                  <c:v>2019/12/4</c:v>
                </c:pt>
                <c:pt idx="249">
                  <c:v>2019/12/5</c:v>
                </c:pt>
                <c:pt idx="250">
                  <c:v>2019/12/6</c:v>
                </c:pt>
                <c:pt idx="251">
                  <c:v>2019/12/9</c:v>
                </c:pt>
                <c:pt idx="252">
                  <c:v>2019/12/10</c:v>
                </c:pt>
                <c:pt idx="253">
                  <c:v>2019/12/11</c:v>
                </c:pt>
                <c:pt idx="254">
                  <c:v>2019/12/12</c:v>
                </c:pt>
                <c:pt idx="255">
                  <c:v>2019/12/13</c:v>
                </c:pt>
                <c:pt idx="256">
                  <c:v>2019/12/16</c:v>
                </c:pt>
                <c:pt idx="257">
                  <c:v>2019/12/17</c:v>
                </c:pt>
                <c:pt idx="258">
                  <c:v>2019/12/18</c:v>
                </c:pt>
                <c:pt idx="259">
                  <c:v>2019/12/19</c:v>
                </c:pt>
                <c:pt idx="260">
                  <c:v>2019/12/20</c:v>
                </c:pt>
                <c:pt idx="261">
                  <c:v>2019/12/23</c:v>
                </c:pt>
                <c:pt idx="262">
                  <c:v>2019/12/24</c:v>
                </c:pt>
                <c:pt idx="263">
                  <c:v>2019/12/25</c:v>
                </c:pt>
                <c:pt idx="264">
                  <c:v>2019/12/26</c:v>
                </c:pt>
                <c:pt idx="265">
                  <c:v>2019/12/27</c:v>
                </c:pt>
                <c:pt idx="266">
                  <c:v>2019/12/30</c:v>
                </c:pt>
                <c:pt idx="267">
                  <c:v>2019/12/31</c:v>
                </c:pt>
                <c:pt idx="268">
                  <c:v>2020/1/2</c:v>
                </c:pt>
                <c:pt idx="269">
                  <c:v>2020/1/3</c:v>
                </c:pt>
                <c:pt idx="270">
                  <c:v>2020/1/6</c:v>
                </c:pt>
                <c:pt idx="271">
                  <c:v>2020/1/7</c:v>
                </c:pt>
                <c:pt idx="272">
                  <c:v>2020/1/8</c:v>
                </c:pt>
                <c:pt idx="273">
                  <c:v>2020/1/9</c:v>
                </c:pt>
                <c:pt idx="274">
                  <c:v>2020/1/10</c:v>
                </c:pt>
                <c:pt idx="275">
                  <c:v>2020/1/13</c:v>
                </c:pt>
                <c:pt idx="276">
                  <c:v>2020/1/14</c:v>
                </c:pt>
                <c:pt idx="277">
                  <c:v>2020/1/15</c:v>
                </c:pt>
                <c:pt idx="278">
                  <c:v>2020/1/16</c:v>
                </c:pt>
                <c:pt idx="279">
                  <c:v>2020/1/17</c:v>
                </c:pt>
                <c:pt idx="280">
                  <c:v>2020/1/20</c:v>
                </c:pt>
                <c:pt idx="281">
                  <c:v>2020/1/21</c:v>
                </c:pt>
                <c:pt idx="282">
                  <c:v>2020/1/22</c:v>
                </c:pt>
                <c:pt idx="283">
                  <c:v>2020/1/23</c:v>
                </c:pt>
                <c:pt idx="284">
                  <c:v>2020/2/3</c:v>
                </c:pt>
                <c:pt idx="285">
                  <c:v>2020/2/4</c:v>
                </c:pt>
                <c:pt idx="286">
                  <c:v>2020/2/5</c:v>
                </c:pt>
                <c:pt idx="287">
                  <c:v>2020/2/6</c:v>
                </c:pt>
                <c:pt idx="288">
                  <c:v>2020/2/7</c:v>
                </c:pt>
                <c:pt idx="289">
                  <c:v>2020/2/10</c:v>
                </c:pt>
                <c:pt idx="290">
                  <c:v>2020/2/11</c:v>
                </c:pt>
                <c:pt idx="291">
                  <c:v>2020/2/12</c:v>
                </c:pt>
                <c:pt idx="292">
                  <c:v>2020/2/13</c:v>
                </c:pt>
                <c:pt idx="293">
                  <c:v>2020/2/14</c:v>
                </c:pt>
                <c:pt idx="294">
                  <c:v>2020/2/17</c:v>
                </c:pt>
                <c:pt idx="295">
                  <c:v>2020/2/18</c:v>
                </c:pt>
                <c:pt idx="296">
                  <c:v>2020/2/19</c:v>
                </c:pt>
                <c:pt idx="297">
                  <c:v>2020/2/20</c:v>
                </c:pt>
                <c:pt idx="298">
                  <c:v>2020/2/21</c:v>
                </c:pt>
                <c:pt idx="299">
                  <c:v>2020/2/24</c:v>
                </c:pt>
                <c:pt idx="300">
                  <c:v>2020/2/25</c:v>
                </c:pt>
                <c:pt idx="301">
                  <c:v>2020/2/26</c:v>
                </c:pt>
                <c:pt idx="302">
                  <c:v>2020/2/27</c:v>
                </c:pt>
                <c:pt idx="303">
                  <c:v>2020/2/28</c:v>
                </c:pt>
                <c:pt idx="304">
                  <c:v>2020/3/2</c:v>
                </c:pt>
                <c:pt idx="305">
                  <c:v>2020/3/3</c:v>
                </c:pt>
                <c:pt idx="306">
                  <c:v>2020/3/4</c:v>
                </c:pt>
                <c:pt idx="307">
                  <c:v>2020/3/5</c:v>
                </c:pt>
                <c:pt idx="308">
                  <c:v>2020/3/6</c:v>
                </c:pt>
                <c:pt idx="309">
                  <c:v>2020/3/9</c:v>
                </c:pt>
                <c:pt idx="310">
                  <c:v>2020/3/10</c:v>
                </c:pt>
                <c:pt idx="311">
                  <c:v>2020/3/11</c:v>
                </c:pt>
                <c:pt idx="312">
                  <c:v>2020/3/12</c:v>
                </c:pt>
                <c:pt idx="313">
                  <c:v>2020/3/13</c:v>
                </c:pt>
                <c:pt idx="314">
                  <c:v>2020/3/16</c:v>
                </c:pt>
                <c:pt idx="315">
                  <c:v>2020/3/17</c:v>
                </c:pt>
                <c:pt idx="316">
                  <c:v>2020/3/18</c:v>
                </c:pt>
                <c:pt idx="317">
                  <c:v>2020/3/19</c:v>
                </c:pt>
                <c:pt idx="318">
                  <c:v>2020/3/20</c:v>
                </c:pt>
                <c:pt idx="319">
                  <c:v>2020/3/23</c:v>
                </c:pt>
                <c:pt idx="320">
                  <c:v>2020/3/24</c:v>
                </c:pt>
                <c:pt idx="321">
                  <c:v>2020/3/25</c:v>
                </c:pt>
                <c:pt idx="322">
                  <c:v>2020/3/26</c:v>
                </c:pt>
                <c:pt idx="323">
                  <c:v>2020/3/27</c:v>
                </c:pt>
                <c:pt idx="324">
                  <c:v>2020/3/30</c:v>
                </c:pt>
                <c:pt idx="325">
                  <c:v>2020/3/31</c:v>
                </c:pt>
                <c:pt idx="326">
                  <c:v>2020/4/1</c:v>
                </c:pt>
                <c:pt idx="327">
                  <c:v>2020/4/2</c:v>
                </c:pt>
                <c:pt idx="328">
                  <c:v>2020/4/3</c:v>
                </c:pt>
                <c:pt idx="329">
                  <c:v>2020/4/7</c:v>
                </c:pt>
                <c:pt idx="330">
                  <c:v>2020/4/8</c:v>
                </c:pt>
                <c:pt idx="331">
                  <c:v>2020/4/9</c:v>
                </c:pt>
                <c:pt idx="332">
                  <c:v>2020/4/10</c:v>
                </c:pt>
                <c:pt idx="333">
                  <c:v>2020/4/13</c:v>
                </c:pt>
                <c:pt idx="334">
                  <c:v>2020/4/14</c:v>
                </c:pt>
                <c:pt idx="335">
                  <c:v>2020/4/15</c:v>
                </c:pt>
                <c:pt idx="336">
                  <c:v>2020/4/16</c:v>
                </c:pt>
                <c:pt idx="337">
                  <c:v>2020/4/17</c:v>
                </c:pt>
                <c:pt idx="338">
                  <c:v>2020/4/20</c:v>
                </c:pt>
                <c:pt idx="339">
                  <c:v>2020/4/21</c:v>
                </c:pt>
                <c:pt idx="340">
                  <c:v>2020/4/22</c:v>
                </c:pt>
                <c:pt idx="341">
                  <c:v>2020/4/23</c:v>
                </c:pt>
                <c:pt idx="342">
                  <c:v>2020/4/24</c:v>
                </c:pt>
                <c:pt idx="343">
                  <c:v>2020/4/27</c:v>
                </c:pt>
                <c:pt idx="344">
                  <c:v>2020/4/28</c:v>
                </c:pt>
                <c:pt idx="345">
                  <c:v>2020/4/29</c:v>
                </c:pt>
                <c:pt idx="346">
                  <c:v>2020/4/30</c:v>
                </c:pt>
                <c:pt idx="347">
                  <c:v>2020/5/6</c:v>
                </c:pt>
                <c:pt idx="348">
                  <c:v>2020/5/7</c:v>
                </c:pt>
                <c:pt idx="349">
                  <c:v>2020/5/8</c:v>
                </c:pt>
                <c:pt idx="350">
                  <c:v>2020/5/11</c:v>
                </c:pt>
                <c:pt idx="351">
                  <c:v>2020/5/12</c:v>
                </c:pt>
                <c:pt idx="352">
                  <c:v>2020/5/13</c:v>
                </c:pt>
                <c:pt idx="353">
                  <c:v>2020/5/14</c:v>
                </c:pt>
                <c:pt idx="354">
                  <c:v>2020/5/15</c:v>
                </c:pt>
                <c:pt idx="355">
                  <c:v>2020/5/18</c:v>
                </c:pt>
                <c:pt idx="356">
                  <c:v>2020/5/19</c:v>
                </c:pt>
                <c:pt idx="357">
                  <c:v>2020/5/20</c:v>
                </c:pt>
                <c:pt idx="358">
                  <c:v>2020/5/21</c:v>
                </c:pt>
                <c:pt idx="359">
                  <c:v>2020/5/22</c:v>
                </c:pt>
                <c:pt idx="360">
                  <c:v>2020/5/25</c:v>
                </c:pt>
                <c:pt idx="361">
                  <c:v>2020/5/26</c:v>
                </c:pt>
                <c:pt idx="362">
                  <c:v>2020/5/27</c:v>
                </c:pt>
                <c:pt idx="363">
                  <c:v>2020/5/28</c:v>
                </c:pt>
                <c:pt idx="364">
                  <c:v>2020/5/29</c:v>
                </c:pt>
                <c:pt idx="365">
                  <c:v>2020/6/1</c:v>
                </c:pt>
                <c:pt idx="366">
                  <c:v>2020/6/2</c:v>
                </c:pt>
                <c:pt idx="367">
                  <c:v>2020/6/3</c:v>
                </c:pt>
                <c:pt idx="368">
                  <c:v>2020/6/4</c:v>
                </c:pt>
                <c:pt idx="369">
                  <c:v>2020/6/5</c:v>
                </c:pt>
                <c:pt idx="370">
                  <c:v>2020/6/8</c:v>
                </c:pt>
                <c:pt idx="371">
                  <c:v>2020/6/9</c:v>
                </c:pt>
                <c:pt idx="372">
                  <c:v>2020/6/10</c:v>
                </c:pt>
                <c:pt idx="373">
                  <c:v>2020/6/11</c:v>
                </c:pt>
                <c:pt idx="374">
                  <c:v>2020/6/12</c:v>
                </c:pt>
                <c:pt idx="375">
                  <c:v>2020/6/15</c:v>
                </c:pt>
                <c:pt idx="376">
                  <c:v>2020/6/16</c:v>
                </c:pt>
                <c:pt idx="377">
                  <c:v>2020/6/17</c:v>
                </c:pt>
                <c:pt idx="378">
                  <c:v>2020/6/18</c:v>
                </c:pt>
                <c:pt idx="379">
                  <c:v>2020/6/19</c:v>
                </c:pt>
                <c:pt idx="380">
                  <c:v>2020/6/22</c:v>
                </c:pt>
                <c:pt idx="381">
                  <c:v>2020/6/23</c:v>
                </c:pt>
                <c:pt idx="382">
                  <c:v>2020/6/24</c:v>
                </c:pt>
                <c:pt idx="383">
                  <c:v>2020/6/29</c:v>
                </c:pt>
                <c:pt idx="384">
                  <c:v>2020/6/30</c:v>
                </c:pt>
                <c:pt idx="385">
                  <c:v>2020/7/1</c:v>
                </c:pt>
                <c:pt idx="386">
                  <c:v>2020/7/2</c:v>
                </c:pt>
                <c:pt idx="387">
                  <c:v>2020/7/3</c:v>
                </c:pt>
                <c:pt idx="388">
                  <c:v>2020/7/6</c:v>
                </c:pt>
                <c:pt idx="389">
                  <c:v>2020/7/7</c:v>
                </c:pt>
                <c:pt idx="390">
                  <c:v>2020/7/8</c:v>
                </c:pt>
                <c:pt idx="391">
                  <c:v>2020/7/9</c:v>
                </c:pt>
                <c:pt idx="392">
                  <c:v>2020/7/10</c:v>
                </c:pt>
                <c:pt idx="393">
                  <c:v>2020/7/13</c:v>
                </c:pt>
                <c:pt idx="394">
                  <c:v>2020/7/14</c:v>
                </c:pt>
                <c:pt idx="395">
                  <c:v>2020/7/15</c:v>
                </c:pt>
                <c:pt idx="396">
                  <c:v>2020/7/16</c:v>
                </c:pt>
                <c:pt idx="397">
                  <c:v>2020/7/17</c:v>
                </c:pt>
                <c:pt idx="398">
                  <c:v>2020/7/20</c:v>
                </c:pt>
                <c:pt idx="399">
                  <c:v>2020/7/21</c:v>
                </c:pt>
                <c:pt idx="400">
                  <c:v>2020/7/22</c:v>
                </c:pt>
                <c:pt idx="401">
                  <c:v>2020/7/23</c:v>
                </c:pt>
                <c:pt idx="402">
                  <c:v>2020/7/24</c:v>
                </c:pt>
                <c:pt idx="403">
                  <c:v>2020/7/27</c:v>
                </c:pt>
                <c:pt idx="404">
                  <c:v>2020/7/28</c:v>
                </c:pt>
                <c:pt idx="405">
                  <c:v>2020/7/29</c:v>
                </c:pt>
                <c:pt idx="406">
                  <c:v>2020/7/30</c:v>
                </c:pt>
                <c:pt idx="407">
                  <c:v>2020/7/31</c:v>
                </c:pt>
                <c:pt idx="408">
                  <c:v>2020/8/3</c:v>
                </c:pt>
                <c:pt idx="409">
                  <c:v>2020/8/4</c:v>
                </c:pt>
                <c:pt idx="410">
                  <c:v>2020/8/5</c:v>
                </c:pt>
                <c:pt idx="411">
                  <c:v>2020/8/6</c:v>
                </c:pt>
                <c:pt idx="412">
                  <c:v>2020/8/7</c:v>
                </c:pt>
                <c:pt idx="413">
                  <c:v>2020/8/10</c:v>
                </c:pt>
                <c:pt idx="414">
                  <c:v>2020/8/11</c:v>
                </c:pt>
                <c:pt idx="415">
                  <c:v>2020/8/12</c:v>
                </c:pt>
                <c:pt idx="416">
                  <c:v>2020/8/13</c:v>
                </c:pt>
                <c:pt idx="417">
                  <c:v>2020/8/14</c:v>
                </c:pt>
                <c:pt idx="418">
                  <c:v>2020/8/17</c:v>
                </c:pt>
                <c:pt idx="419">
                  <c:v>2020/8/18</c:v>
                </c:pt>
                <c:pt idx="420">
                  <c:v>2020/8/19</c:v>
                </c:pt>
                <c:pt idx="421">
                  <c:v>2020/8/20</c:v>
                </c:pt>
                <c:pt idx="422">
                  <c:v>2020/8/21</c:v>
                </c:pt>
                <c:pt idx="423">
                  <c:v>2020/8/24</c:v>
                </c:pt>
                <c:pt idx="424">
                  <c:v>2020/8/25</c:v>
                </c:pt>
                <c:pt idx="425">
                  <c:v>2020/8/26</c:v>
                </c:pt>
                <c:pt idx="426">
                  <c:v>2020/8/27</c:v>
                </c:pt>
                <c:pt idx="427">
                  <c:v>2020/8/28</c:v>
                </c:pt>
                <c:pt idx="428">
                  <c:v>2020/8/31</c:v>
                </c:pt>
                <c:pt idx="429">
                  <c:v>2020/9/1</c:v>
                </c:pt>
                <c:pt idx="430">
                  <c:v>2020/9/2</c:v>
                </c:pt>
                <c:pt idx="431">
                  <c:v>2020/9/3</c:v>
                </c:pt>
                <c:pt idx="432">
                  <c:v>2020/9/4</c:v>
                </c:pt>
                <c:pt idx="433">
                  <c:v>2020/9/7</c:v>
                </c:pt>
                <c:pt idx="434">
                  <c:v>2020/9/8</c:v>
                </c:pt>
                <c:pt idx="435">
                  <c:v>2020/9/9</c:v>
                </c:pt>
                <c:pt idx="436">
                  <c:v>2020/9/10</c:v>
                </c:pt>
                <c:pt idx="437">
                  <c:v>2020/9/11</c:v>
                </c:pt>
                <c:pt idx="438">
                  <c:v>2020/9/14</c:v>
                </c:pt>
                <c:pt idx="439">
                  <c:v>2020/9/15</c:v>
                </c:pt>
                <c:pt idx="440">
                  <c:v>2020/9/16</c:v>
                </c:pt>
                <c:pt idx="441">
                  <c:v>2020/9/17</c:v>
                </c:pt>
                <c:pt idx="442">
                  <c:v>2020/9/18</c:v>
                </c:pt>
                <c:pt idx="443">
                  <c:v>2020/9/21</c:v>
                </c:pt>
                <c:pt idx="444">
                  <c:v>2020/9/22</c:v>
                </c:pt>
                <c:pt idx="445">
                  <c:v>2020/9/23</c:v>
                </c:pt>
                <c:pt idx="446">
                  <c:v>2020/9/24</c:v>
                </c:pt>
                <c:pt idx="447">
                  <c:v>2020/9/25</c:v>
                </c:pt>
                <c:pt idx="448">
                  <c:v>2020/9/28</c:v>
                </c:pt>
                <c:pt idx="449">
                  <c:v>2020/9/29</c:v>
                </c:pt>
                <c:pt idx="450">
                  <c:v>2020/9/30</c:v>
                </c:pt>
                <c:pt idx="451">
                  <c:v>2020/10/9</c:v>
                </c:pt>
                <c:pt idx="452">
                  <c:v>2020/10/12</c:v>
                </c:pt>
                <c:pt idx="453">
                  <c:v>2020/10/13</c:v>
                </c:pt>
                <c:pt idx="454">
                  <c:v>2020/10/14</c:v>
                </c:pt>
                <c:pt idx="455">
                  <c:v>2020/10/15</c:v>
                </c:pt>
                <c:pt idx="456">
                  <c:v>2020/10/16</c:v>
                </c:pt>
                <c:pt idx="457">
                  <c:v>2020/10/19</c:v>
                </c:pt>
                <c:pt idx="458">
                  <c:v>2020/10/20</c:v>
                </c:pt>
                <c:pt idx="459">
                  <c:v>2020/10/21</c:v>
                </c:pt>
                <c:pt idx="460">
                  <c:v>2020/10/22</c:v>
                </c:pt>
                <c:pt idx="461">
                  <c:v>2020/10/23</c:v>
                </c:pt>
                <c:pt idx="462">
                  <c:v>2020/10/26</c:v>
                </c:pt>
                <c:pt idx="463">
                  <c:v>2020/10/27</c:v>
                </c:pt>
                <c:pt idx="464">
                  <c:v>2020/10/28</c:v>
                </c:pt>
                <c:pt idx="465">
                  <c:v>2020/10/29</c:v>
                </c:pt>
                <c:pt idx="466">
                  <c:v>2020/10/30</c:v>
                </c:pt>
                <c:pt idx="467">
                  <c:v>2020/11/2</c:v>
                </c:pt>
                <c:pt idx="468">
                  <c:v>2020/11/3</c:v>
                </c:pt>
                <c:pt idx="469">
                  <c:v>2020/11/4</c:v>
                </c:pt>
                <c:pt idx="470">
                  <c:v>2020/11/5</c:v>
                </c:pt>
                <c:pt idx="471">
                  <c:v>2020/11/6</c:v>
                </c:pt>
                <c:pt idx="472">
                  <c:v>2020/11/9</c:v>
                </c:pt>
                <c:pt idx="473">
                  <c:v>2020/11/10</c:v>
                </c:pt>
                <c:pt idx="474">
                  <c:v>2020/11/11</c:v>
                </c:pt>
                <c:pt idx="475">
                  <c:v>2020/11/12</c:v>
                </c:pt>
                <c:pt idx="476">
                  <c:v>2020/11/13</c:v>
                </c:pt>
                <c:pt idx="477">
                  <c:v>2020/11/16</c:v>
                </c:pt>
                <c:pt idx="478">
                  <c:v>2020/11/17</c:v>
                </c:pt>
                <c:pt idx="479">
                  <c:v>2020/11/18</c:v>
                </c:pt>
                <c:pt idx="480">
                  <c:v>2020/11/19</c:v>
                </c:pt>
                <c:pt idx="481">
                  <c:v>2020/11/20</c:v>
                </c:pt>
                <c:pt idx="482">
                  <c:v>2020/11/23</c:v>
                </c:pt>
                <c:pt idx="483">
                  <c:v>2020/11/24</c:v>
                </c:pt>
                <c:pt idx="484">
                  <c:v>2020/11/25</c:v>
                </c:pt>
                <c:pt idx="485">
                  <c:v>2020/11/26</c:v>
                </c:pt>
                <c:pt idx="486">
                  <c:v>2020/11/27</c:v>
                </c:pt>
                <c:pt idx="487">
                  <c:v>2020/11/30</c:v>
                </c:pt>
                <c:pt idx="488">
                  <c:v>2020/12/1</c:v>
                </c:pt>
                <c:pt idx="489">
                  <c:v>2020/12/2</c:v>
                </c:pt>
                <c:pt idx="490">
                  <c:v>2020/12/3</c:v>
                </c:pt>
                <c:pt idx="491">
                  <c:v>2020/12/4</c:v>
                </c:pt>
                <c:pt idx="492">
                  <c:v>2020/12/7</c:v>
                </c:pt>
                <c:pt idx="493">
                  <c:v>2020/12/8</c:v>
                </c:pt>
                <c:pt idx="494">
                  <c:v>2020/12/9</c:v>
                </c:pt>
                <c:pt idx="495">
                  <c:v>2020/12/10</c:v>
                </c:pt>
                <c:pt idx="496">
                  <c:v>2020/12/11</c:v>
                </c:pt>
                <c:pt idx="497">
                  <c:v>2020/12/14</c:v>
                </c:pt>
                <c:pt idx="498">
                  <c:v>2020/12/15</c:v>
                </c:pt>
                <c:pt idx="499">
                  <c:v>2020/12/16</c:v>
                </c:pt>
                <c:pt idx="500">
                  <c:v>2020/12/17</c:v>
                </c:pt>
                <c:pt idx="501">
                  <c:v>2020/12/18</c:v>
                </c:pt>
                <c:pt idx="502">
                  <c:v>2020/12/21</c:v>
                </c:pt>
                <c:pt idx="503">
                  <c:v>2020/12/22</c:v>
                </c:pt>
                <c:pt idx="504">
                  <c:v>2020/12/23</c:v>
                </c:pt>
                <c:pt idx="505">
                  <c:v>2020/12/24</c:v>
                </c:pt>
                <c:pt idx="506">
                  <c:v>2020/12/25</c:v>
                </c:pt>
                <c:pt idx="507">
                  <c:v>2020/12/28</c:v>
                </c:pt>
                <c:pt idx="508">
                  <c:v>2020/12/29</c:v>
                </c:pt>
                <c:pt idx="509">
                  <c:v>2020/12/30</c:v>
                </c:pt>
                <c:pt idx="510">
                  <c:v>2020/12/31</c:v>
                </c:pt>
                <c:pt idx="511">
                  <c:v>(空白)</c:v>
                </c:pt>
              </c:strCache>
            </c:strRef>
          </c:cat>
          <c:val>
            <c:numRef>
              <c:f>Sheet1!$C$4:$C$516</c:f>
              <c:numCache>
                <c:formatCode>General</c:formatCode>
                <c:ptCount val="512"/>
                <c:pt idx="0">
                  <c:v>30000</c:v>
                </c:pt>
                <c:pt idx="1">
                  <c:v>30000</c:v>
                </c:pt>
                <c:pt idx="2">
                  <c:v>30000</c:v>
                </c:pt>
                <c:pt idx="3">
                  <c:v>30000</c:v>
                </c:pt>
                <c:pt idx="4">
                  <c:v>30000</c:v>
                </c:pt>
                <c:pt idx="5">
                  <c:v>30000</c:v>
                </c:pt>
                <c:pt idx="6">
                  <c:v>30000</c:v>
                </c:pt>
                <c:pt idx="7">
                  <c:v>30000</c:v>
                </c:pt>
                <c:pt idx="8">
                  <c:v>30000</c:v>
                </c:pt>
                <c:pt idx="9">
                  <c:v>30000</c:v>
                </c:pt>
                <c:pt idx="10">
                  <c:v>30000</c:v>
                </c:pt>
                <c:pt idx="11">
                  <c:v>30000</c:v>
                </c:pt>
                <c:pt idx="12">
                  <c:v>30000</c:v>
                </c:pt>
                <c:pt idx="13">
                  <c:v>30000</c:v>
                </c:pt>
                <c:pt idx="14">
                  <c:v>30000</c:v>
                </c:pt>
                <c:pt idx="15">
                  <c:v>30000</c:v>
                </c:pt>
                <c:pt idx="16">
                  <c:v>30000</c:v>
                </c:pt>
                <c:pt idx="17">
                  <c:v>30000</c:v>
                </c:pt>
                <c:pt idx="18">
                  <c:v>30000</c:v>
                </c:pt>
                <c:pt idx="19">
                  <c:v>30000</c:v>
                </c:pt>
                <c:pt idx="20">
                  <c:v>30000</c:v>
                </c:pt>
                <c:pt idx="21">
                  <c:v>30000</c:v>
                </c:pt>
                <c:pt idx="22">
                  <c:v>30000</c:v>
                </c:pt>
                <c:pt idx="23">
                  <c:v>30000</c:v>
                </c:pt>
                <c:pt idx="24">
                  <c:v>30000</c:v>
                </c:pt>
                <c:pt idx="25">
                  <c:v>90000</c:v>
                </c:pt>
                <c:pt idx="26">
                  <c:v>90000</c:v>
                </c:pt>
                <c:pt idx="27">
                  <c:v>90000</c:v>
                </c:pt>
                <c:pt idx="28">
                  <c:v>90000</c:v>
                </c:pt>
                <c:pt idx="29">
                  <c:v>90000</c:v>
                </c:pt>
                <c:pt idx="30">
                  <c:v>90000</c:v>
                </c:pt>
                <c:pt idx="31">
                  <c:v>90000</c:v>
                </c:pt>
                <c:pt idx="32">
                  <c:v>90000</c:v>
                </c:pt>
                <c:pt idx="33">
                  <c:v>90000</c:v>
                </c:pt>
                <c:pt idx="34">
                  <c:v>90000</c:v>
                </c:pt>
                <c:pt idx="35">
                  <c:v>90000</c:v>
                </c:pt>
                <c:pt idx="36">
                  <c:v>90000</c:v>
                </c:pt>
                <c:pt idx="37">
                  <c:v>90000</c:v>
                </c:pt>
                <c:pt idx="38">
                  <c:v>90000</c:v>
                </c:pt>
                <c:pt idx="39">
                  <c:v>90000</c:v>
                </c:pt>
                <c:pt idx="40">
                  <c:v>90000</c:v>
                </c:pt>
                <c:pt idx="41">
                  <c:v>90000</c:v>
                </c:pt>
                <c:pt idx="42">
                  <c:v>90000</c:v>
                </c:pt>
                <c:pt idx="43">
                  <c:v>90000</c:v>
                </c:pt>
                <c:pt idx="44">
                  <c:v>90000</c:v>
                </c:pt>
                <c:pt idx="45">
                  <c:v>90000</c:v>
                </c:pt>
                <c:pt idx="46">
                  <c:v>90000</c:v>
                </c:pt>
                <c:pt idx="47">
                  <c:v>90000</c:v>
                </c:pt>
                <c:pt idx="48">
                  <c:v>90000</c:v>
                </c:pt>
                <c:pt idx="49">
                  <c:v>90000</c:v>
                </c:pt>
                <c:pt idx="50">
                  <c:v>90000</c:v>
                </c:pt>
                <c:pt idx="51">
                  <c:v>90000</c:v>
                </c:pt>
                <c:pt idx="52">
                  <c:v>90000</c:v>
                </c:pt>
                <c:pt idx="53">
                  <c:v>90000</c:v>
                </c:pt>
                <c:pt idx="54">
                  <c:v>90000</c:v>
                </c:pt>
                <c:pt idx="55">
                  <c:v>90000</c:v>
                </c:pt>
                <c:pt idx="56">
                  <c:v>90000</c:v>
                </c:pt>
                <c:pt idx="57">
                  <c:v>90000</c:v>
                </c:pt>
                <c:pt idx="58">
                  <c:v>90000</c:v>
                </c:pt>
                <c:pt idx="59">
                  <c:v>90000</c:v>
                </c:pt>
                <c:pt idx="60">
                  <c:v>90000</c:v>
                </c:pt>
                <c:pt idx="61">
                  <c:v>90000</c:v>
                </c:pt>
                <c:pt idx="62">
                  <c:v>90000</c:v>
                </c:pt>
                <c:pt idx="63">
                  <c:v>90000</c:v>
                </c:pt>
                <c:pt idx="64">
                  <c:v>90000</c:v>
                </c:pt>
                <c:pt idx="65">
                  <c:v>90000</c:v>
                </c:pt>
                <c:pt idx="66">
                  <c:v>90000</c:v>
                </c:pt>
                <c:pt idx="67">
                  <c:v>90000</c:v>
                </c:pt>
                <c:pt idx="68">
                  <c:v>90000</c:v>
                </c:pt>
                <c:pt idx="69">
                  <c:v>90000</c:v>
                </c:pt>
                <c:pt idx="70">
                  <c:v>90000</c:v>
                </c:pt>
                <c:pt idx="71">
                  <c:v>90000</c:v>
                </c:pt>
                <c:pt idx="72">
                  <c:v>90000</c:v>
                </c:pt>
                <c:pt idx="73">
                  <c:v>90000</c:v>
                </c:pt>
                <c:pt idx="74">
                  <c:v>90000</c:v>
                </c:pt>
                <c:pt idx="75">
                  <c:v>90000</c:v>
                </c:pt>
                <c:pt idx="76">
                  <c:v>90000</c:v>
                </c:pt>
                <c:pt idx="77">
                  <c:v>90000</c:v>
                </c:pt>
                <c:pt idx="78">
                  <c:v>90000</c:v>
                </c:pt>
                <c:pt idx="79">
                  <c:v>90000</c:v>
                </c:pt>
                <c:pt idx="80">
                  <c:v>90000</c:v>
                </c:pt>
                <c:pt idx="81">
                  <c:v>90000</c:v>
                </c:pt>
                <c:pt idx="82">
                  <c:v>90000</c:v>
                </c:pt>
                <c:pt idx="83">
                  <c:v>90000</c:v>
                </c:pt>
                <c:pt idx="84">
                  <c:v>90000</c:v>
                </c:pt>
                <c:pt idx="85">
                  <c:v>90000</c:v>
                </c:pt>
                <c:pt idx="86">
                  <c:v>90000</c:v>
                </c:pt>
                <c:pt idx="87">
                  <c:v>90000</c:v>
                </c:pt>
                <c:pt idx="88">
                  <c:v>90000</c:v>
                </c:pt>
                <c:pt idx="89">
                  <c:v>90000</c:v>
                </c:pt>
                <c:pt idx="90">
                  <c:v>90000</c:v>
                </c:pt>
                <c:pt idx="91">
                  <c:v>90000</c:v>
                </c:pt>
                <c:pt idx="92">
                  <c:v>90000</c:v>
                </c:pt>
                <c:pt idx="93">
                  <c:v>90000</c:v>
                </c:pt>
                <c:pt idx="94">
                  <c:v>90000</c:v>
                </c:pt>
                <c:pt idx="95">
                  <c:v>90000</c:v>
                </c:pt>
                <c:pt idx="96">
                  <c:v>90000</c:v>
                </c:pt>
                <c:pt idx="97">
                  <c:v>90000</c:v>
                </c:pt>
                <c:pt idx="98">
                  <c:v>90000</c:v>
                </c:pt>
                <c:pt idx="99">
                  <c:v>90000</c:v>
                </c:pt>
                <c:pt idx="100">
                  <c:v>90000</c:v>
                </c:pt>
                <c:pt idx="101">
                  <c:v>90000</c:v>
                </c:pt>
                <c:pt idx="102">
                  <c:v>90000</c:v>
                </c:pt>
                <c:pt idx="103">
                  <c:v>90000</c:v>
                </c:pt>
                <c:pt idx="104">
                  <c:v>90000</c:v>
                </c:pt>
                <c:pt idx="105">
                  <c:v>90000</c:v>
                </c:pt>
                <c:pt idx="106">
                  <c:v>90000</c:v>
                </c:pt>
                <c:pt idx="107">
                  <c:v>90000</c:v>
                </c:pt>
                <c:pt idx="108">
                  <c:v>90000</c:v>
                </c:pt>
                <c:pt idx="109">
                  <c:v>90000</c:v>
                </c:pt>
                <c:pt idx="110">
                  <c:v>90000</c:v>
                </c:pt>
                <c:pt idx="111">
                  <c:v>90000</c:v>
                </c:pt>
                <c:pt idx="112">
                  <c:v>90000</c:v>
                </c:pt>
                <c:pt idx="113">
                  <c:v>90000</c:v>
                </c:pt>
                <c:pt idx="114">
                  <c:v>90000</c:v>
                </c:pt>
                <c:pt idx="115">
                  <c:v>90000</c:v>
                </c:pt>
                <c:pt idx="116">
                  <c:v>90000</c:v>
                </c:pt>
                <c:pt idx="117">
                  <c:v>90000</c:v>
                </c:pt>
                <c:pt idx="118">
                  <c:v>90000</c:v>
                </c:pt>
                <c:pt idx="119">
                  <c:v>90000</c:v>
                </c:pt>
                <c:pt idx="120">
                  <c:v>90000</c:v>
                </c:pt>
                <c:pt idx="121">
                  <c:v>90000</c:v>
                </c:pt>
                <c:pt idx="122">
                  <c:v>90000</c:v>
                </c:pt>
                <c:pt idx="123">
                  <c:v>90000</c:v>
                </c:pt>
                <c:pt idx="124">
                  <c:v>90000</c:v>
                </c:pt>
                <c:pt idx="125">
                  <c:v>90000</c:v>
                </c:pt>
                <c:pt idx="126">
                  <c:v>90000</c:v>
                </c:pt>
                <c:pt idx="127">
                  <c:v>90000</c:v>
                </c:pt>
                <c:pt idx="128">
                  <c:v>90000</c:v>
                </c:pt>
                <c:pt idx="129">
                  <c:v>90000</c:v>
                </c:pt>
                <c:pt idx="130">
                  <c:v>90000</c:v>
                </c:pt>
                <c:pt idx="131">
                  <c:v>90000</c:v>
                </c:pt>
                <c:pt idx="132">
                  <c:v>90000</c:v>
                </c:pt>
                <c:pt idx="133">
                  <c:v>90000</c:v>
                </c:pt>
                <c:pt idx="134">
                  <c:v>90000</c:v>
                </c:pt>
                <c:pt idx="135">
                  <c:v>90000</c:v>
                </c:pt>
                <c:pt idx="136">
                  <c:v>90000</c:v>
                </c:pt>
                <c:pt idx="137">
                  <c:v>90000</c:v>
                </c:pt>
                <c:pt idx="138">
                  <c:v>90000</c:v>
                </c:pt>
                <c:pt idx="139">
                  <c:v>90000</c:v>
                </c:pt>
                <c:pt idx="140">
                  <c:v>90000</c:v>
                </c:pt>
                <c:pt idx="141">
                  <c:v>90000</c:v>
                </c:pt>
                <c:pt idx="142">
                  <c:v>90000</c:v>
                </c:pt>
                <c:pt idx="143">
                  <c:v>90000</c:v>
                </c:pt>
                <c:pt idx="144">
                  <c:v>90000</c:v>
                </c:pt>
                <c:pt idx="145">
                  <c:v>90000</c:v>
                </c:pt>
                <c:pt idx="146">
                  <c:v>90000</c:v>
                </c:pt>
                <c:pt idx="147">
                  <c:v>90000</c:v>
                </c:pt>
                <c:pt idx="148">
                  <c:v>90000</c:v>
                </c:pt>
                <c:pt idx="149">
                  <c:v>90000</c:v>
                </c:pt>
                <c:pt idx="150">
                  <c:v>90000</c:v>
                </c:pt>
                <c:pt idx="151">
                  <c:v>90000</c:v>
                </c:pt>
                <c:pt idx="152">
                  <c:v>90000</c:v>
                </c:pt>
                <c:pt idx="153">
                  <c:v>90000</c:v>
                </c:pt>
                <c:pt idx="154">
                  <c:v>90000</c:v>
                </c:pt>
                <c:pt idx="155">
                  <c:v>90000</c:v>
                </c:pt>
                <c:pt idx="156">
                  <c:v>90000</c:v>
                </c:pt>
                <c:pt idx="157">
                  <c:v>90000</c:v>
                </c:pt>
                <c:pt idx="158">
                  <c:v>90000</c:v>
                </c:pt>
                <c:pt idx="159">
                  <c:v>90000</c:v>
                </c:pt>
                <c:pt idx="160">
                  <c:v>90000</c:v>
                </c:pt>
                <c:pt idx="161">
                  <c:v>90000</c:v>
                </c:pt>
                <c:pt idx="162">
                  <c:v>90000</c:v>
                </c:pt>
                <c:pt idx="163">
                  <c:v>90000</c:v>
                </c:pt>
                <c:pt idx="164">
                  <c:v>90000</c:v>
                </c:pt>
                <c:pt idx="165">
                  <c:v>90000</c:v>
                </c:pt>
                <c:pt idx="166">
                  <c:v>90000</c:v>
                </c:pt>
                <c:pt idx="167">
                  <c:v>90000</c:v>
                </c:pt>
                <c:pt idx="168">
                  <c:v>90000</c:v>
                </c:pt>
                <c:pt idx="169">
                  <c:v>90000</c:v>
                </c:pt>
                <c:pt idx="170">
                  <c:v>90000</c:v>
                </c:pt>
                <c:pt idx="171">
                  <c:v>90000</c:v>
                </c:pt>
                <c:pt idx="172">
                  <c:v>90000</c:v>
                </c:pt>
                <c:pt idx="173">
                  <c:v>90000</c:v>
                </c:pt>
                <c:pt idx="174">
                  <c:v>90000</c:v>
                </c:pt>
                <c:pt idx="175">
                  <c:v>90000</c:v>
                </c:pt>
                <c:pt idx="176">
                  <c:v>90000</c:v>
                </c:pt>
                <c:pt idx="177">
                  <c:v>90000</c:v>
                </c:pt>
                <c:pt idx="178">
                  <c:v>90000</c:v>
                </c:pt>
                <c:pt idx="179">
                  <c:v>90000</c:v>
                </c:pt>
                <c:pt idx="180">
                  <c:v>90000</c:v>
                </c:pt>
                <c:pt idx="181">
                  <c:v>90000</c:v>
                </c:pt>
                <c:pt idx="182">
                  <c:v>90000</c:v>
                </c:pt>
                <c:pt idx="183">
                  <c:v>90000</c:v>
                </c:pt>
                <c:pt idx="184">
                  <c:v>90000</c:v>
                </c:pt>
                <c:pt idx="185">
                  <c:v>90000</c:v>
                </c:pt>
                <c:pt idx="186">
                  <c:v>90000</c:v>
                </c:pt>
                <c:pt idx="187">
                  <c:v>90000</c:v>
                </c:pt>
                <c:pt idx="188">
                  <c:v>90000</c:v>
                </c:pt>
                <c:pt idx="189">
                  <c:v>90000</c:v>
                </c:pt>
                <c:pt idx="190">
                  <c:v>90000</c:v>
                </c:pt>
                <c:pt idx="191">
                  <c:v>90000</c:v>
                </c:pt>
                <c:pt idx="192">
                  <c:v>90000</c:v>
                </c:pt>
                <c:pt idx="193">
                  <c:v>90000</c:v>
                </c:pt>
                <c:pt idx="194">
                  <c:v>90000</c:v>
                </c:pt>
                <c:pt idx="195">
                  <c:v>90000</c:v>
                </c:pt>
                <c:pt idx="196">
                  <c:v>90000</c:v>
                </c:pt>
                <c:pt idx="197">
                  <c:v>90000</c:v>
                </c:pt>
                <c:pt idx="198">
                  <c:v>90000</c:v>
                </c:pt>
                <c:pt idx="199">
                  <c:v>90000</c:v>
                </c:pt>
                <c:pt idx="200">
                  <c:v>90000</c:v>
                </c:pt>
                <c:pt idx="201">
                  <c:v>90000</c:v>
                </c:pt>
                <c:pt idx="202">
                  <c:v>90000</c:v>
                </c:pt>
                <c:pt idx="203">
                  <c:v>90000</c:v>
                </c:pt>
                <c:pt idx="204">
                  <c:v>90000</c:v>
                </c:pt>
                <c:pt idx="205">
                  <c:v>90000</c:v>
                </c:pt>
                <c:pt idx="206">
                  <c:v>90000</c:v>
                </c:pt>
                <c:pt idx="207">
                  <c:v>90000</c:v>
                </c:pt>
                <c:pt idx="208">
                  <c:v>90000</c:v>
                </c:pt>
                <c:pt idx="209">
                  <c:v>90000</c:v>
                </c:pt>
                <c:pt idx="210">
                  <c:v>90000</c:v>
                </c:pt>
                <c:pt idx="211">
                  <c:v>90000</c:v>
                </c:pt>
                <c:pt idx="212">
                  <c:v>90000</c:v>
                </c:pt>
                <c:pt idx="213">
                  <c:v>90000</c:v>
                </c:pt>
                <c:pt idx="214">
                  <c:v>90000</c:v>
                </c:pt>
                <c:pt idx="215">
                  <c:v>90000</c:v>
                </c:pt>
                <c:pt idx="216">
                  <c:v>90000</c:v>
                </c:pt>
                <c:pt idx="217">
                  <c:v>90000</c:v>
                </c:pt>
                <c:pt idx="218">
                  <c:v>90000</c:v>
                </c:pt>
                <c:pt idx="219">
                  <c:v>90000</c:v>
                </c:pt>
                <c:pt idx="220">
                  <c:v>90000</c:v>
                </c:pt>
                <c:pt idx="221">
                  <c:v>90000</c:v>
                </c:pt>
                <c:pt idx="222">
                  <c:v>90000</c:v>
                </c:pt>
                <c:pt idx="223">
                  <c:v>90000</c:v>
                </c:pt>
                <c:pt idx="224">
                  <c:v>90000</c:v>
                </c:pt>
                <c:pt idx="225">
                  <c:v>90000</c:v>
                </c:pt>
                <c:pt idx="226">
                  <c:v>90000</c:v>
                </c:pt>
                <c:pt idx="227">
                  <c:v>90000</c:v>
                </c:pt>
                <c:pt idx="228">
                  <c:v>90000</c:v>
                </c:pt>
                <c:pt idx="229">
                  <c:v>90000</c:v>
                </c:pt>
                <c:pt idx="230">
                  <c:v>90000</c:v>
                </c:pt>
                <c:pt idx="231">
                  <c:v>90000</c:v>
                </c:pt>
                <c:pt idx="232">
                  <c:v>90000</c:v>
                </c:pt>
                <c:pt idx="233">
                  <c:v>90000</c:v>
                </c:pt>
                <c:pt idx="234">
                  <c:v>90000</c:v>
                </c:pt>
                <c:pt idx="235">
                  <c:v>90000</c:v>
                </c:pt>
                <c:pt idx="236">
                  <c:v>90000</c:v>
                </c:pt>
                <c:pt idx="237">
                  <c:v>90000</c:v>
                </c:pt>
                <c:pt idx="238">
                  <c:v>90000</c:v>
                </c:pt>
                <c:pt idx="239">
                  <c:v>90000</c:v>
                </c:pt>
                <c:pt idx="240">
                  <c:v>90000</c:v>
                </c:pt>
                <c:pt idx="241">
                  <c:v>90000</c:v>
                </c:pt>
                <c:pt idx="242">
                  <c:v>90000</c:v>
                </c:pt>
                <c:pt idx="243">
                  <c:v>90000</c:v>
                </c:pt>
                <c:pt idx="244">
                  <c:v>90000</c:v>
                </c:pt>
                <c:pt idx="245">
                  <c:v>90000</c:v>
                </c:pt>
                <c:pt idx="246">
                  <c:v>90000</c:v>
                </c:pt>
                <c:pt idx="247">
                  <c:v>90000</c:v>
                </c:pt>
                <c:pt idx="248">
                  <c:v>90000</c:v>
                </c:pt>
                <c:pt idx="249">
                  <c:v>90000</c:v>
                </c:pt>
                <c:pt idx="250">
                  <c:v>90000</c:v>
                </c:pt>
                <c:pt idx="251">
                  <c:v>90000</c:v>
                </c:pt>
                <c:pt idx="252">
                  <c:v>90000</c:v>
                </c:pt>
                <c:pt idx="253">
                  <c:v>90000</c:v>
                </c:pt>
                <c:pt idx="254">
                  <c:v>90000</c:v>
                </c:pt>
                <c:pt idx="255">
                  <c:v>90000</c:v>
                </c:pt>
                <c:pt idx="256">
                  <c:v>90000</c:v>
                </c:pt>
                <c:pt idx="257">
                  <c:v>90000</c:v>
                </c:pt>
                <c:pt idx="258">
                  <c:v>90000</c:v>
                </c:pt>
                <c:pt idx="259">
                  <c:v>90000</c:v>
                </c:pt>
                <c:pt idx="260">
                  <c:v>90000</c:v>
                </c:pt>
                <c:pt idx="261">
                  <c:v>90000</c:v>
                </c:pt>
                <c:pt idx="262">
                  <c:v>90000</c:v>
                </c:pt>
                <c:pt idx="263">
                  <c:v>90000</c:v>
                </c:pt>
                <c:pt idx="264">
                  <c:v>90000</c:v>
                </c:pt>
                <c:pt idx="265">
                  <c:v>90000</c:v>
                </c:pt>
                <c:pt idx="266">
                  <c:v>90000</c:v>
                </c:pt>
                <c:pt idx="267">
                  <c:v>90000</c:v>
                </c:pt>
                <c:pt idx="268">
                  <c:v>90000</c:v>
                </c:pt>
                <c:pt idx="269">
                  <c:v>90000</c:v>
                </c:pt>
                <c:pt idx="270">
                  <c:v>90000</c:v>
                </c:pt>
                <c:pt idx="271">
                  <c:v>90000</c:v>
                </c:pt>
                <c:pt idx="272">
                  <c:v>90000</c:v>
                </c:pt>
                <c:pt idx="273">
                  <c:v>90000</c:v>
                </c:pt>
                <c:pt idx="274">
                  <c:v>90000</c:v>
                </c:pt>
                <c:pt idx="275">
                  <c:v>90000</c:v>
                </c:pt>
                <c:pt idx="276">
                  <c:v>90000</c:v>
                </c:pt>
                <c:pt idx="277">
                  <c:v>90000</c:v>
                </c:pt>
                <c:pt idx="278">
                  <c:v>90000</c:v>
                </c:pt>
                <c:pt idx="279">
                  <c:v>90000</c:v>
                </c:pt>
                <c:pt idx="280">
                  <c:v>90000</c:v>
                </c:pt>
                <c:pt idx="281">
                  <c:v>90000</c:v>
                </c:pt>
                <c:pt idx="282">
                  <c:v>90000</c:v>
                </c:pt>
                <c:pt idx="283">
                  <c:v>90000</c:v>
                </c:pt>
                <c:pt idx="284">
                  <c:v>90000</c:v>
                </c:pt>
                <c:pt idx="285">
                  <c:v>90000</c:v>
                </c:pt>
                <c:pt idx="286">
                  <c:v>90000</c:v>
                </c:pt>
                <c:pt idx="287">
                  <c:v>90000</c:v>
                </c:pt>
                <c:pt idx="288">
                  <c:v>90000</c:v>
                </c:pt>
                <c:pt idx="289">
                  <c:v>90000</c:v>
                </c:pt>
                <c:pt idx="290">
                  <c:v>90000</c:v>
                </c:pt>
                <c:pt idx="291">
                  <c:v>90000</c:v>
                </c:pt>
                <c:pt idx="292">
                  <c:v>90000</c:v>
                </c:pt>
                <c:pt idx="293">
                  <c:v>90000</c:v>
                </c:pt>
                <c:pt idx="294">
                  <c:v>90000</c:v>
                </c:pt>
                <c:pt idx="295">
                  <c:v>90000</c:v>
                </c:pt>
                <c:pt idx="296">
                  <c:v>90000</c:v>
                </c:pt>
                <c:pt idx="297">
                  <c:v>90000</c:v>
                </c:pt>
                <c:pt idx="298">
                  <c:v>90000</c:v>
                </c:pt>
                <c:pt idx="299">
                  <c:v>90000</c:v>
                </c:pt>
                <c:pt idx="300">
                  <c:v>90000</c:v>
                </c:pt>
                <c:pt idx="301">
                  <c:v>90000</c:v>
                </c:pt>
                <c:pt idx="302">
                  <c:v>90000</c:v>
                </c:pt>
                <c:pt idx="303">
                  <c:v>90000</c:v>
                </c:pt>
                <c:pt idx="304">
                  <c:v>90000</c:v>
                </c:pt>
                <c:pt idx="305">
                  <c:v>90000</c:v>
                </c:pt>
                <c:pt idx="306">
                  <c:v>90000</c:v>
                </c:pt>
                <c:pt idx="307">
                  <c:v>90000</c:v>
                </c:pt>
                <c:pt idx="308">
                  <c:v>90000</c:v>
                </c:pt>
                <c:pt idx="309">
                  <c:v>90000</c:v>
                </c:pt>
                <c:pt idx="310">
                  <c:v>90000</c:v>
                </c:pt>
                <c:pt idx="311">
                  <c:v>90000</c:v>
                </c:pt>
                <c:pt idx="312">
                  <c:v>90000</c:v>
                </c:pt>
                <c:pt idx="313">
                  <c:v>90000</c:v>
                </c:pt>
                <c:pt idx="314">
                  <c:v>90000</c:v>
                </c:pt>
                <c:pt idx="315">
                  <c:v>90000</c:v>
                </c:pt>
                <c:pt idx="316">
                  <c:v>90000</c:v>
                </c:pt>
                <c:pt idx="317">
                  <c:v>90000</c:v>
                </c:pt>
                <c:pt idx="318">
                  <c:v>90000</c:v>
                </c:pt>
                <c:pt idx="319">
                  <c:v>90000</c:v>
                </c:pt>
                <c:pt idx="320">
                  <c:v>90000</c:v>
                </c:pt>
                <c:pt idx="321">
                  <c:v>90000</c:v>
                </c:pt>
                <c:pt idx="322">
                  <c:v>90000</c:v>
                </c:pt>
                <c:pt idx="323">
                  <c:v>90000</c:v>
                </c:pt>
                <c:pt idx="324">
                  <c:v>90000</c:v>
                </c:pt>
                <c:pt idx="325">
                  <c:v>190000</c:v>
                </c:pt>
                <c:pt idx="326">
                  <c:v>190000</c:v>
                </c:pt>
                <c:pt idx="327">
                  <c:v>190000</c:v>
                </c:pt>
                <c:pt idx="328">
                  <c:v>190000</c:v>
                </c:pt>
                <c:pt idx="329">
                  <c:v>190000</c:v>
                </c:pt>
                <c:pt idx="330">
                  <c:v>190000</c:v>
                </c:pt>
                <c:pt idx="331">
                  <c:v>190000</c:v>
                </c:pt>
                <c:pt idx="332">
                  <c:v>190000</c:v>
                </c:pt>
                <c:pt idx="333">
                  <c:v>190000</c:v>
                </c:pt>
                <c:pt idx="334">
                  <c:v>190000</c:v>
                </c:pt>
                <c:pt idx="335">
                  <c:v>190000</c:v>
                </c:pt>
                <c:pt idx="336">
                  <c:v>190000</c:v>
                </c:pt>
                <c:pt idx="337">
                  <c:v>190000</c:v>
                </c:pt>
                <c:pt idx="338">
                  <c:v>190000</c:v>
                </c:pt>
                <c:pt idx="339">
                  <c:v>190000</c:v>
                </c:pt>
                <c:pt idx="340">
                  <c:v>190000</c:v>
                </c:pt>
                <c:pt idx="341">
                  <c:v>190000</c:v>
                </c:pt>
                <c:pt idx="342">
                  <c:v>190000</c:v>
                </c:pt>
                <c:pt idx="343">
                  <c:v>190000</c:v>
                </c:pt>
                <c:pt idx="344">
                  <c:v>190000</c:v>
                </c:pt>
                <c:pt idx="345">
                  <c:v>190000</c:v>
                </c:pt>
                <c:pt idx="346">
                  <c:v>190000</c:v>
                </c:pt>
                <c:pt idx="347">
                  <c:v>190000</c:v>
                </c:pt>
                <c:pt idx="348">
                  <c:v>190000</c:v>
                </c:pt>
                <c:pt idx="349">
                  <c:v>190000</c:v>
                </c:pt>
                <c:pt idx="350">
                  <c:v>190000</c:v>
                </c:pt>
                <c:pt idx="351">
                  <c:v>190000</c:v>
                </c:pt>
                <c:pt idx="352">
                  <c:v>190000</c:v>
                </c:pt>
                <c:pt idx="353">
                  <c:v>190000</c:v>
                </c:pt>
                <c:pt idx="354">
                  <c:v>190000</c:v>
                </c:pt>
                <c:pt idx="355">
                  <c:v>190000</c:v>
                </c:pt>
                <c:pt idx="356">
                  <c:v>190000</c:v>
                </c:pt>
                <c:pt idx="357">
                  <c:v>190000</c:v>
                </c:pt>
                <c:pt idx="358">
                  <c:v>190000</c:v>
                </c:pt>
                <c:pt idx="359">
                  <c:v>190000</c:v>
                </c:pt>
                <c:pt idx="360">
                  <c:v>190000</c:v>
                </c:pt>
                <c:pt idx="361">
                  <c:v>190000</c:v>
                </c:pt>
                <c:pt idx="362">
                  <c:v>190000</c:v>
                </c:pt>
                <c:pt idx="363">
                  <c:v>190000</c:v>
                </c:pt>
                <c:pt idx="364">
                  <c:v>190000</c:v>
                </c:pt>
                <c:pt idx="365">
                  <c:v>190000</c:v>
                </c:pt>
                <c:pt idx="366">
                  <c:v>190000</c:v>
                </c:pt>
                <c:pt idx="367">
                  <c:v>190000</c:v>
                </c:pt>
                <c:pt idx="368">
                  <c:v>190000</c:v>
                </c:pt>
                <c:pt idx="369">
                  <c:v>190000</c:v>
                </c:pt>
                <c:pt idx="370">
                  <c:v>190000</c:v>
                </c:pt>
                <c:pt idx="371">
                  <c:v>190000</c:v>
                </c:pt>
                <c:pt idx="372">
                  <c:v>190000</c:v>
                </c:pt>
                <c:pt idx="373">
                  <c:v>190000</c:v>
                </c:pt>
                <c:pt idx="374">
                  <c:v>190000</c:v>
                </c:pt>
                <c:pt idx="375">
                  <c:v>190000</c:v>
                </c:pt>
                <c:pt idx="376">
                  <c:v>190000</c:v>
                </c:pt>
                <c:pt idx="377">
                  <c:v>190000</c:v>
                </c:pt>
                <c:pt idx="378">
                  <c:v>190000</c:v>
                </c:pt>
                <c:pt idx="379">
                  <c:v>190000</c:v>
                </c:pt>
                <c:pt idx="380">
                  <c:v>190000</c:v>
                </c:pt>
                <c:pt idx="381">
                  <c:v>190000</c:v>
                </c:pt>
                <c:pt idx="382">
                  <c:v>190000</c:v>
                </c:pt>
                <c:pt idx="383">
                  <c:v>240000</c:v>
                </c:pt>
                <c:pt idx="384">
                  <c:v>240000</c:v>
                </c:pt>
                <c:pt idx="385">
                  <c:v>240000</c:v>
                </c:pt>
                <c:pt idx="386">
                  <c:v>240000</c:v>
                </c:pt>
                <c:pt idx="387">
                  <c:v>240000</c:v>
                </c:pt>
                <c:pt idx="388">
                  <c:v>240000</c:v>
                </c:pt>
                <c:pt idx="389">
                  <c:v>240000</c:v>
                </c:pt>
                <c:pt idx="390">
                  <c:v>240000</c:v>
                </c:pt>
                <c:pt idx="391">
                  <c:v>240000</c:v>
                </c:pt>
                <c:pt idx="392">
                  <c:v>240000</c:v>
                </c:pt>
                <c:pt idx="393">
                  <c:v>240000</c:v>
                </c:pt>
                <c:pt idx="394">
                  <c:v>240000</c:v>
                </c:pt>
                <c:pt idx="395">
                  <c:v>240000</c:v>
                </c:pt>
                <c:pt idx="396">
                  <c:v>240000</c:v>
                </c:pt>
                <c:pt idx="397">
                  <c:v>480000</c:v>
                </c:pt>
                <c:pt idx="398">
                  <c:v>240000</c:v>
                </c:pt>
                <c:pt idx="399">
                  <c:v>240000</c:v>
                </c:pt>
                <c:pt idx="400">
                  <c:v>240000</c:v>
                </c:pt>
                <c:pt idx="401">
                  <c:v>240000</c:v>
                </c:pt>
                <c:pt idx="402">
                  <c:v>240000</c:v>
                </c:pt>
                <c:pt idx="403">
                  <c:v>240000</c:v>
                </c:pt>
                <c:pt idx="404">
                  <c:v>240000</c:v>
                </c:pt>
                <c:pt idx="405">
                  <c:v>240000</c:v>
                </c:pt>
                <c:pt idx="406">
                  <c:v>240000</c:v>
                </c:pt>
                <c:pt idx="407">
                  <c:v>240000</c:v>
                </c:pt>
                <c:pt idx="408">
                  <c:v>240000</c:v>
                </c:pt>
                <c:pt idx="409">
                  <c:v>240000</c:v>
                </c:pt>
                <c:pt idx="410">
                  <c:v>240000</c:v>
                </c:pt>
                <c:pt idx="411">
                  <c:v>240000</c:v>
                </c:pt>
                <c:pt idx="412">
                  <c:v>240000</c:v>
                </c:pt>
                <c:pt idx="413">
                  <c:v>240000</c:v>
                </c:pt>
                <c:pt idx="414">
                  <c:v>240000</c:v>
                </c:pt>
                <c:pt idx="415">
                  <c:v>240000</c:v>
                </c:pt>
                <c:pt idx="416">
                  <c:v>240000</c:v>
                </c:pt>
                <c:pt idx="417">
                  <c:v>240000</c:v>
                </c:pt>
                <c:pt idx="418">
                  <c:v>240000</c:v>
                </c:pt>
                <c:pt idx="419">
                  <c:v>240000</c:v>
                </c:pt>
                <c:pt idx="420">
                  <c:v>240000</c:v>
                </c:pt>
                <c:pt idx="421">
                  <c:v>240000</c:v>
                </c:pt>
                <c:pt idx="422">
                  <c:v>240000</c:v>
                </c:pt>
                <c:pt idx="423">
                  <c:v>240000</c:v>
                </c:pt>
                <c:pt idx="424">
                  <c:v>240000</c:v>
                </c:pt>
                <c:pt idx="425">
                  <c:v>240000</c:v>
                </c:pt>
                <c:pt idx="426">
                  <c:v>240000</c:v>
                </c:pt>
                <c:pt idx="427">
                  <c:v>240000</c:v>
                </c:pt>
                <c:pt idx="428">
                  <c:v>240000</c:v>
                </c:pt>
                <c:pt idx="429">
                  <c:v>240000</c:v>
                </c:pt>
                <c:pt idx="430">
                  <c:v>240000</c:v>
                </c:pt>
                <c:pt idx="431">
                  <c:v>240000</c:v>
                </c:pt>
                <c:pt idx="432">
                  <c:v>240000</c:v>
                </c:pt>
                <c:pt idx="433">
                  <c:v>240000</c:v>
                </c:pt>
                <c:pt idx="434">
                  <c:v>240000</c:v>
                </c:pt>
                <c:pt idx="435">
                  <c:v>240000</c:v>
                </c:pt>
                <c:pt idx="436">
                  <c:v>240000</c:v>
                </c:pt>
                <c:pt idx="437">
                  <c:v>240000</c:v>
                </c:pt>
                <c:pt idx="438">
                  <c:v>240000</c:v>
                </c:pt>
                <c:pt idx="439">
                  <c:v>240000</c:v>
                </c:pt>
                <c:pt idx="440">
                  <c:v>240000</c:v>
                </c:pt>
                <c:pt idx="441">
                  <c:v>240000</c:v>
                </c:pt>
                <c:pt idx="442">
                  <c:v>240000</c:v>
                </c:pt>
                <c:pt idx="443">
                  <c:v>240000</c:v>
                </c:pt>
                <c:pt idx="444">
                  <c:v>240000</c:v>
                </c:pt>
                <c:pt idx="445">
                  <c:v>240000</c:v>
                </c:pt>
                <c:pt idx="446">
                  <c:v>240000</c:v>
                </c:pt>
                <c:pt idx="447">
                  <c:v>240000</c:v>
                </c:pt>
                <c:pt idx="448">
                  <c:v>240000</c:v>
                </c:pt>
                <c:pt idx="449">
                  <c:v>240000</c:v>
                </c:pt>
                <c:pt idx="450">
                  <c:v>240000</c:v>
                </c:pt>
                <c:pt idx="451">
                  <c:v>240000</c:v>
                </c:pt>
                <c:pt idx="452">
                  <c:v>240000</c:v>
                </c:pt>
                <c:pt idx="453">
                  <c:v>240000</c:v>
                </c:pt>
                <c:pt idx="454">
                  <c:v>240000</c:v>
                </c:pt>
                <c:pt idx="455">
                  <c:v>240000</c:v>
                </c:pt>
                <c:pt idx="456">
                  <c:v>240000</c:v>
                </c:pt>
                <c:pt idx="457">
                  <c:v>240000</c:v>
                </c:pt>
                <c:pt idx="458">
                  <c:v>240000</c:v>
                </c:pt>
                <c:pt idx="459">
                  <c:v>240000</c:v>
                </c:pt>
                <c:pt idx="460">
                  <c:v>240000</c:v>
                </c:pt>
                <c:pt idx="461">
                  <c:v>240000</c:v>
                </c:pt>
                <c:pt idx="462">
                  <c:v>240000</c:v>
                </c:pt>
                <c:pt idx="463">
                  <c:v>240000</c:v>
                </c:pt>
                <c:pt idx="464">
                  <c:v>240000</c:v>
                </c:pt>
                <c:pt idx="465">
                  <c:v>240000</c:v>
                </c:pt>
                <c:pt idx="466">
                  <c:v>240000</c:v>
                </c:pt>
                <c:pt idx="467">
                  <c:v>240000</c:v>
                </c:pt>
                <c:pt idx="468">
                  <c:v>240000</c:v>
                </c:pt>
                <c:pt idx="469">
                  <c:v>240000</c:v>
                </c:pt>
                <c:pt idx="470">
                  <c:v>240000</c:v>
                </c:pt>
                <c:pt idx="471">
                  <c:v>240000</c:v>
                </c:pt>
                <c:pt idx="472">
                  <c:v>240000</c:v>
                </c:pt>
                <c:pt idx="473">
                  <c:v>240000</c:v>
                </c:pt>
                <c:pt idx="474">
                  <c:v>240000</c:v>
                </c:pt>
                <c:pt idx="475">
                  <c:v>240000</c:v>
                </c:pt>
                <c:pt idx="476">
                  <c:v>240000</c:v>
                </c:pt>
                <c:pt idx="477">
                  <c:v>240000</c:v>
                </c:pt>
                <c:pt idx="478">
                  <c:v>240000</c:v>
                </c:pt>
                <c:pt idx="479">
                  <c:v>240000</c:v>
                </c:pt>
                <c:pt idx="480">
                  <c:v>240000</c:v>
                </c:pt>
                <c:pt idx="481">
                  <c:v>240000</c:v>
                </c:pt>
                <c:pt idx="482">
                  <c:v>240000</c:v>
                </c:pt>
                <c:pt idx="483">
                  <c:v>240000</c:v>
                </c:pt>
                <c:pt idx="484">
                  <c:v>240000</c:v>
                </c:pt>
                <c:pt idx="485">
                  <c:v>240000</c:v>
                </c:pt>
                <c:pt idx="486">
                  <c:v>240000</c:v>
                </c:pt>
                <c:pt idx="487">
                  <c:v>240000</c:v>
                </c:pt>
                <c:pt idx="488">
                  <c:v>240000</c:v>
                </c:pt>
                <c:pt idx="489">
                  <c:v>240000</c:v>
                </c:pt>
                <c:pt idx="490">
                  <c:v>240000</c:v>
                </c:pt>
                <c:pt idx="491">
                  <c:v>240000</c:v>
                </c:pt>
                <c:pt idx="492">
                  <c:v>240000</c:v>
                </c:pt>
                <c:pt idx="493">
                  <c:v>240000</c:v>
                </c:pt>
                <c:pt idx="494">
                  <c:v>240000</c:v>
                </c:pt>
                <c:pt idx="495">
                  <c:v>240000</c:v>
                </c:pt>
                <c:pt idx="496">
                  <c:v>240000</c:v>
                </c:pt>
                <c:pt idx="497">
                  <c:v>240000</c:v>
                </c:pt>
                <c:pt idx="498">
                  <c:v>240000</c:v>
                </c:pt>
                <c:pt idx="499">
                  <c:v>240000</c:v>
                </c:pt>
                <c:pt idx="500">
                  <c:v>240000</c:v>
                </c:pt>
                <c:pt idx="501">
                  <c:v>240000</c:v>
                </c:pt>
                <c:pt idx="502">
                  <c:v>240000</c:v>
                </c:pt>
                <c:pt idx="503">
                  <c:v>240000</c:v>
                </c:pt>
                <c:pt idx="504">
                  <c:v>240000</c:v>
                </c:pt>
                <c:pt idx="505">
                  <c:v>240000</c:v>
                </c:pt>
                <c:pt idx="506">
                  <c:v>240000</c:v>
                </c:pt>
                <c:pt idx="507">
                  <c:v>240000</c:v>
                </c:pt>
                <c:pt idx="508">
                  <c:v>240000</c:v>
                </c:pt>
                <c:pt idx="509">
                  <c:v>240000</c:v>
                </c:pt>
                <c:pt idx="510">
                  <c:v>240000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99-471D-A296-A672EBE31A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67210736"/>
        <c:axId val="1067210408"/>
      </c:barChart>
      <c:lineChart>
        <c:grouping val="standard"/>
        <c:varyColors val="0"/>
        <c:ser>
          <c:idx val="0"/>
          <c:order val="0"/>
          <c:tx>
            <c:strRef>
              <c:f>Sheet1!$B$3</c:f>
              <c:strCache>
                <c:ptCount val="1"/>
                <c:pt idx="0">
                  <c:v>求和项:盈利金额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Sheet1!$A$4:$A$516</c:f>
              <c:strCache>
                <c:ptCount val="512"/>
                <c:pt idx="0">
                  <c:v>2018/11/27</c:v>
                </c:pt>
                <c:pt idx="1">
                  <c:v>2018/11/28</c:v>
                </c:pt>
                <c:pt idx="2">
                  <c:v>2018/11/29</c:v>
                </c:pt>
                <c:pt idx="3">
                  <c:v>2018/11/30</c:v>
                </c:pt>
                <c:pt idx="4">
                  <c:v>2018/12/3</c:v>
                </c:pt>
                <c:pt idx="5">
                  <c:v>2018/12/4</c:v>
                </c:pt>
                <c:pt idx="6">
                  <c:v>2018/12/5</c:v>
                </c:pt>
                <c:pt idx="7">
                  <c:v>2018/12/6</c:v>
                </c:pt>
                <c:pt idx="8">
                  <c:v>2018/12/7</c:v>
                </c:pt>
                <c:pt idx="9">
                  <c:v>2018/12/10</c:v>
                </c:pt>
                <c:pt idx="10">
                  <c:v>2018/12/11</c:v>
                </c:pt>
                <c:pt idx="11">
                  <c:v>2018/12/12</c:v>
                </c:pt>
                <c:pt idx="12">
                  <c:v>2018/12/13</c:v>
                </c:pt>
                <c:pt idx="13">
                  <c:v>2018/12/14</c:v>
                </c:pt>
                <c:pt idx="14">
                  <c:v>2018/12/17</c:v>
                </c:pt>
                <c:pt idx="15">
                  <c:v>2018/12/18</c:v>
                </c:pt>
                <c:pt idx="16">
                  <c:v>2018/12/19</c:v>
                </c:pt>
                <c:pt idx="17">
                  <c:v>2018/12/20</c:v>
                </c:pt>
                <c:pt idx="18">
                  <c:v>2018/12/21</c:v>
                </c:pt>
                <c:pt idx="19">
                  <c:v>2018/12/24</c:v>
                </c:pt>
                <c:pt idx="20">
                  <c:v>2018/12/25</c:v>
                </c:pt>
                <c:pt idx="21">
                  <c:v>2018/12/26</c:v>
                </c:pt>
                <c:pt idx="22">
                  <c:v>2018/12/27</c:v>
                </c:pt>
                <c:pt idx="23">
                  <c:v>2018/12/28</c:v>
                </c:pt>
                <c:pt idx="24">
                  <c:v>2019/1/2</c:v>
                </c:pt>
                <c:pt idx="25">
                  <c:v>2019/1/3</c:v>
                </c:pt>
                <c:pt idx="26">
                  <c:v>2019/1/4</c:v>
                </c:pt>
                <c:pt idx="27">
                  <c:v>2019/1/7</c:v>
                </c:pt>
                <c:pt idx="28">
                  <c:v>2019/1/8</c:v>
                </c:pt>
                <c:pt idx="29">
                  <c:v>2019/1/9</c:v>
                </c:pt>
                <c:pt idx="30">
                  <c:v>2019/1/10</c:v>
                </c:pt>
                <c:pt idx="31">
                  <c:v>2019/1/11</c:v>
                </c:pt>
                <c:pt idx="32">
                  <c:v>2019/1/14</c:v>
                </c:pt>
                <c:pt idx="33">
                  <c:v>2019/1/15</c:v>
                </c:pt>
                <c:pt idx="34">
                  <c:v>2019/1/16</c:v>
                </c:pt>
                <c:pt idx="35">
                  <c:v>2019/1/17</c:v>
                </c:pt>
                <c:pt idx="36">
                  <c:v>2019/1/18</c:v>
                </c:pt>
                <c:pt idx="37">
                  <c:v>2019/1/21</c:v>
                </c:pt>
                <c:pt idx="38">
                  <c:v>2019/1/22</c:v>
                </c:pt>
                <c:pt idx="39">
                  <c:v>2019/1/23</c:v>
                </c:pt>
                <c:pt idx="40">
                  <c:v>2019/1/24</c:v>
                </c:pt>
                <c:pt idx="41">
                  <c:v>2019/1/25</c:v>
                </c:pt>
                <c:pt idx="42">
                  <c:v>2019/1/28</c:v>
                </c:pt>
                <c:pt idx="43">
                  <c:v>2019/1/29</c:v>
                </c:pt>
                <c:pt idx="44">
                  <c:v>2019/1/30</c:v>
                </c:pt>
                <c:pt idx="45">
                  <c:v>2019/1/31</c:v>
                </c:pt>
                <c:pt idx="46">
                  <c:v>2019/2/1</c:v>
                </c:pt>
                <c:pt idx="47">
                  <c:v>2019/2/11</c:v>
                </c:pt>
                <c:pt idx="48">
                  <c:v>2019/2/12</c:v>
                </c:pt>
                <c:pt idx="49">
                  <c:v>2019/2/13</c:v>
                </c:pt>
                <c:pt idx="50">
                  <c:v>2019/2/14</c:v>
                </c:pt>
                <c:pt idx="51">
                  <c:v>2019/2/15</c:v>
                </c:pt>
                <c:pt idx="52">
                  <c:v>2019/2/18</c:v>
                </c:pt>
                <c:pt idx="53">
                  <c:v>2019/2/19</c:v>
                </c:pt>
                <c:pt idx="54">
                  <c:v>2019/2/20</c:v>
                </c:pt>
                <c:pt idx="55">
                  <c:v>2019/2/21</c:v>
                </c:pt>
                <c:pt idx="56">
                  <c:v>2019/2/22</c:v>
                </c:pt>
                <c:pt idx="57">
                  <c:v>2019/2/25</c:v>
                </c:pt>
                <c:pt idx="58">
                  <c:v>2019/2/26</c:v>
                </c:pt>
                <c:pt idx="59">
                  <c:v>2019/2/27</c:v>
                </c:pt>
                <c:pt idx="60">
                  <c:v>2019/2/28</c:v>
                </c:pt>
                <c:pt idx="61">
                  <c:v>2019/3/1</c:v>
                </c:pt>
                <c:pt idx="62">
                  <c:v>2019/3/4</c:v>
                </c:pt>
                <c:pt idx="63">
                  <c:v>2019/3/5</c:v>
                </c:pt>
                <c:pt idx="64">
                  <c:v>2019/3/6</c:v>
                </c:pt>
                <c:pt idx="65">
                  <c:v>2019/3/7</c:v>
                </c:pt>
                <c:pt idx="66">
                  <c:v>2019/3/8</c:v>
                </c:pt>
                <c:pt idx="67">
                  <c:v>2019/3/11</c:v>
                </c:pt>
                <c:pt idx="68">
                  <c:v>2019/3/12</c:v>
                </c:pt>
                <c:pt idx="69">
                  <c:v>2019/3/13</c:v>
                </c:pt>
                <c:pt idx="70">
                  <c:v>2019/3/14</c:v>
                </c:pt>
                <c:pt idx="71">
                  <c:v>2019/3/15</c:v>
                </c:pt>
                <c:pt idx="72">
                  <c:v>2019/3/18</c:v>
                </c:pt>
                <c:pt idx="73">
                  <c:v>2019/3/19</c:v>
                </c:pt>
                <c:pt idx="74">
                  <c:v>2019/3/20</c:v>
                </c:pt>
                <c:pt idx="75">
                  <c:v>2019/3/21</c:v>
                </c:pt>
                <c:pt idx="76">
                  <c:v>2019/3/22</c:v>
                </c:pt>
                <c:pt idx="77">
                  <c:v>2019/3/25</c:v>
                </c:pt>
                <c:pt idx="78">
                  <c:v>2019/3/26</c:v>
                </c:pt>
                <c:pt idx="79">
                  <c:v>2019/3/27</c:v>
                </c:pt>
                <c:pt idx="80">
                  <c:v>2019/3/28</c:v>
                </c:pt>
                <c:pt idx="81">
                  <c:v>2019/3/29</c:v>
                </c:pt>
                <c:pt idx="82">
                  <c:v>2019/4/1</c:v>
                </c:pt>
                <c:pt idx="83">
                  <c:v>2019/4/2</c:v>
                </c:pt>
                <c:pt idx="84">
                  <c:v>2019/4/3</c:v>
                </c:pt>
                <c:pt idx="85">
                  <c:v>2019/4/4</c:v>
                </c:pt>
                <c:pt idx="86">
                  <c:v>2019/4/8</c:v>
                </c:pt>
                <c:pt idx="87">
                  <c:v>2019/4/9</c:v>
                </c:pt>
                <c:pt idx="88">
                  <c:v>2019/4/10</c:v>
                </c:pt>
                <c:pt idx="89">
                  <c:v>2019/4/11</c:v>
                </c:pt>
                <c:pt idx="90">
                  <c:v>2019/4/12</c:v>
                </c:pt>
                <c:pt idx="91">
                  <c:v>2019/4/15</c:v>
                </c:pt>
                <c:pt idx="92">
                  <c:v>2019/4/16</c:v>
                </c:pt>
                <c:pt idx="93">
                  <c:v>2019/4/17</c:v>
                </c:pt>
                <c:pt idx="94">
                  <c:v>2019/4/18</c:v>
                </c:pt>
                <c:pt idx="95">
                  <c:v>2019/4/19</c:v>
                </c:pt>
                <c:pt idx="96">
                  <c:v>2019/4/22</c:v>
                </c:pt>
                <c:pt idx="97">
                  <c:v>2019/4/23</c:v>
                </c:pt>
                <c:pt idx="98">
                  <c:v>2019/4/24</c:v>
                </c:pt>
                <c:pt idx="99">
                  <c:v>2019/4/25</c:v>
                </c:pt>
                <c:pt idx="100">
                  <c:v>2019/4/26</c:v>
                </c:pt>
                <c:pt idx="101">
                  <c:v>2019/4/29</c:v>
                </c:pt>
                <c:pt idx="102">
                  <c:v>2019/4/30</c:v>
                </c:pt>
                <c:pt idx="103">
                  <c:v>2019/5/6</c:v>
                </c:pt>
                <c:pt idx="104">
                  <c:v>2019/5/7</c:v>
                </c:pt>
                <c:pt idx="105">
                  <c:v>2019/5/8</c:v>
                </c:pt>
                <c:pt idx="106">
                  <c:v>2019/5/9</c:v>
                </c:pt>
                <c:pt idx="107">
                  <c:v>2019/5/10</c:v>
                </c:pt>
                <c:pt idx="108">
                  <c:v>2019/5/13</c:v>
                </c:pt>
                <c:pt idx="109">
                  <c:v>2019/5/14</c:v>
                </c:pt>
                <c:pt idx="110">
                  <c:v>2019/5/15</c:v>
                </c:pt>
                <c:pt idx="111">
                  <c:v>2019/5/16</c:v>
                </c:pt>
                <c:pt idx="112">
                  <c:v>2019/5/17</c:v>
                </c:pt>
                <c:pt idx="113">
                  <c:v>2019/5/20</c:v>
                </c:pt>
                <c:pt idx="114">
                  <c:v>2019/5/21</c:v>
                </c:pt>
                <c:pt idx="115">
                  <c:v>2019/5/22</c:v>
                </c:pt>
                <c:pt idx="116">
                  <c:v>2019/5/23</c:v>
                </c:pt>
                <c:pt idx="117">
                  <c:v>2019/5/24</c:v>
                </c:pt>
                <c:pt idx="118">
                  <c:v>2019/5/27</c:v>
                </c:pt>
                <c:pt idx="119">
                  <c:v>2019/5/28</c:v>
                </c:pt>
                <c:pt idx="120">
                  <c:v>2019/5/29</c:v>
                </c:pt>
                <c:pt idx="121">
                  <c:v>2019/5/30</c:v>
                </c:pt>
                <c:pt idx="122">
                  <c:v>2019/5/31</c:v>
                </c:pt>
                <c:pt idx="123">
                  <c:v>2019/6/3</c:v>
                </c:pt>
                <c:pt idx="124">
                  <c:v>2019/6/4</c:v>
                </c:pt>
                <c:pt idx="125">
                  <c:v>2019/6/5</c:v>
                </c:pt>
                <c:pt idx="126">
                  <c:v>2019/6/6</c:v>
                </c:pt>
                <c:pt idx="127">
                  <c:v>2019/6/10</c:v>
                </c:pt>
                <c:pt idx="128">
                  <c:v>2019/6/11</c:v>
                </c:pt>
                <c:pt idx="129">
                  <c:v>2019/6/12</c:v>
                </c:pt>
                <c:pt idx="130">
                  <c:v>2019/6/13</c:v>
                </c:pt>
                <c:pt idx="131">
                  <c:v>2019/6/14</c:v>
                </c:pt>
                <c:pt idx="132">
                  <c:v>2019/6/17</c:v>
                </c:pt>
                <c:pt idx="133">
                  <c:v>2019/6/18</c:v>
                </c:pt>
                <c:pt idx="134">
                  <c:v>2019/6/19</c:v>
                </c:pt>
                <c:pt idx="135">
                  <c:v>2019/6/20</c:v>
                </c:pt>
                <c:pt idx="136">
                  <c:v>2019/6/21</c:v>
                </c:pt>
                <c:pt idx="137">
                  <c:v>2019/6/24</c:v>
                </c:pt>
                <c:pt idx="138">
                  <c:v>2019/6/25</c:v>
                </c:pt>
                <c:pt idx="139">
                  <c:v>2019/6/26</c:v>
                </c:pt>
                <c:pt idx="140">
                  <c:v>2019/6/27</c:v>
                </c:pt>
                <c:pt idx="141">
                  <c:v>2019/6/28</c:v>
                </c:pt>
                <c:pt idx="142">
                  <c:v>2019/7/1</c:v>
                </c:pt>
                <c:pt idx="143">
                  <c:v>2019/7/2</c:v>
                </c:pt>
                <c:pt idx="144">
                  <c:v>2019/7/3</c:v>
                </c:pt>
                <c:pt idx="145">
                  <c:v>2019/7/4</c:v>
                </c:pt>
                <c:pt idx="146">
                  <c:v>2019/7/5</c:v>
                </c:pt>
                <c:pt idx="147">
                  <c:v>2019/7/8</c:v>
                </c:pt>
                <c:pt idx="148">
                  <c:v>2019/7/9</c:v>
                </c:pt>
                <c:pt idx="149">
                  <c:v>2019/7/10</c:v>
                </c:pt>
                <c:pt idx="150">
                  <c:v>2019/7/11</c:v>
                </c:pt>
                <c:pt idx="151">
                  <c:v>2019/7/12</c:v>
                </c:pt>
                <c:pt idx="152">
                  <c:v>2019/7/15</c:v>
                </c:pt>
                <c:pt idx="153">
                  <c:v>2019/7/16</c:v>
                </c:pt>
                <c:pt idx="154">
                  <c:v>2019/7/17</c:v>
                </c:pt>
                <c:pt idx="155">
                  <c:v>2019/7/18</c:v>
                </c:pt>
                <c:pt idx="156">
                  <c:v>2019/7/19</c:v>
                </c:pt>
                <c:pt idx="157">
                  <c:v>2019/7/22</c:v>
                </c:pt>
                <c:pt idx="158">
                  <c:v>2019/7/23</c:v>
                </c:pt>
                <c:pt idx="159">
                  <c:v>2019/7/24</c:v>
                </c:pt>
                <c:pt idx="160">
                  <c:v>2019/7/25</c:v>
                </c:pt>
                <c:pt idx="161">
                  <c:v>2019/7/26</c:v>
                </c:pt>
                <c:pt idx="162">
                  <c:v>2019/7/29</c:v>
                </c:pt>
                <c:pt idx="163">
                  <c:v>2019/7/30</c:v>
                </c:pt>
                <c:pt idx="164">
                  <c:v>2019/7/31</c:v>
                </c:pt>
                <c:pt idx="165">
                  <c:v>2019/8/1</c:v>
                </c:pt>
                <c:pt idx="166">
                  <c:v>2019/8/2</c:v>
                </c:pt>
                <c:pt idx="167">
                  <c:v>2019/8/5</c:v>
                </c:pt>
                <c:pt idx="168">
                  <c:v>2019/8/6</c:v>
                </c:pt>
                <c:pt idx="169">
                  <c:v>2019/8/7</c:v>
                </c:pt>
                <c:pt idx="170">
                  <c:v>2019/8/8</c:v>
                </c:pt>
                <c:pt idx="171">
                  <c:v>2019/8/9</c:v>
                </c:pt>
                <c:pt idx="172">
                  <c:v>2019/8/12</c:v>
                </c:pt>
                <c:pt idx="173">
                  <c:v>2019/8/13</c:v>
                </c:pt>
                <c:pt idx="174">
                  <c:v>2019/8/14</c:v>
                </c:pt>
                <c:pt idx="175">
                  <c:v>2019/8/15</c:v>
                </c:pt>
                <c:pt idx="176">
                  <c:v>2019/8/16</c:v>
                </c:pt>
                <c:pt idx="177">
                  <c:v>2019/8/19</c:v>
                </c:pt>
                <c:pt idx="178">
                  <c:v>2019/8/20</c:v>
                </c:pt>
                <c:pt idx="179">
                  <c:v>2019/8/21</c:v>
                </c:pt>
                <c:pt idx="180">
                  <c:v>2019/8/22</c:v>
                </c:pt>
                <c:pt idx="181">
                  <c:v>2019/8/23</c:v>
                </c:pt>
                <c:pt idx="182">
                  <c:v>2019/8/26</c:v>
                </c:pt>
                <c:pt idx="183">
                  <c:v>2019/8/27</c:v>
                </c:pt>
                <c:pt idx="184">
                  <c:v>2019/8/28</c:v>
                </c:pt>
                <c:pt idx="185">
                  <c:v>2019/8/29</c:v>
                </c:pt>
                <c:pt idx="186">
                  <c:v>2019/8/30</c:v>
                </c:pt>
                <c:pt idx="187">
                  <c:v>2019/9/2</c:v>
                </c:pt>
                <c:pt idx="188">
                  <c:v>2019/9/3</c:v>
                </c:pt>
                <c:pt idx="189">
                  <c:v>2019/9/4</c:v>
                </c:pt>
                <c:pt idx="190">
                  <c:v>2019/9/5</c:v>
                </c:pt>
                <c:pt idx="191">
                  <c:v>2019/9/6</c:v>
                </c:pt>
                <c:pt idx="192">
                  <c:v>2019/9/9</c:v>
                </c:pt>
                <c:pt idx="193">
                  <c:v>2019/9/10</c:v>
                </c:pt>
                <c:pt idx="194">
                  <c:v>2019/9/11</c:v>
                </c:pt>
                <c:pt idx="195">
                  <c:v>2019/9/12</c:v>
                </c:pt>
                <c:pt idx="196">
                  <c:v>2019/9/16</c:v>
                </c:pt>
                <c:pt idx="197">
                  <c:v>2019/9/17</c:v>
                </c:pt>
                <c:pt idx="198">
                  <c:v>2019/9/18</c:v>
                </c:pt>
                <c:pt idx="199">
                  <c:v>2019/9/19</c:v>
                </c:pt>
                <c:pt idx="200">
                  <c:v>2019/9/20</c:v>
                </c:pt>
                <c:pt idx="201">
                  <c:v>2019/9/23</c:v>
                </c:pt>
                <c:pt idx="202">
                  <c:v>2019/9/24</c:v>
                </c:pt>
                <c:pt idx="203">
                  <c:v>2019/9/25</c:v>
                </c:pt>
                <c:pt idx="204">
                  <c:v>2019/9/26</c:v>
                </c:pt>
                <c:pt idx="205">
                  <c:v>2019/9/27</c:v>
                </c:pt>
                <c:pt idx="206">
                  <c:v>2019/9/30</c:v>
                </c:pt>
                <c:pt idx="207">
                  <c:v>2019/10/8</c:v>
                </c:pt>
                <c:pt idx="208">
                  <c:v>2019/10/9</c:v>
                </c:pt>
                <c:pt idx="209">
                  <c:v>2019/10/10</c:v>
                </c:pt>
                <c:pt idx="210">
                  <c:v>2019/10/11</c:v>
                </c:pt>
                <c:pt idx="211">
                  <c:v>2019/10/14</c:v>
                </c:pt>
                <c:pt idx="212">
                  <c:v>2019/10/15</c:v>
                </c:pt>
                <c:pt idx="213">
                  <c:v>2019/10/16</c:v>
                </c:pt>
                <c:pt idx="214">
                  <c:v>2019/10/17</c:v>
                </c:pt>
                <c:pt idx="215">
                  <c:v>2019/10/18</c:v>
                </c:pt>
                <c:pt idx="216">
                  <c:v>2019/10/21</c:v>
                </c:pt>
                <c:pt idx="217">
                  <c:v>2019/10/22</c:v>
                </c:pt>
                <c:pt idx="218">
                  <c:v>2019/10/23</c:v>
                </c:pt>
                <c:pt idx="219">
                  <c:v>2019/10/24</c:v>
                </c:pt>
                <c:pt idx="220">
                  <c:v>2019/10/25</c:v>
                </c:pt>
                <c:pt idx="221">
                  <c:v>2019/10/28</c:v>
                </c:pt>
                <c:pt idx="222">
                  <c:v>2019/10/29</c:v>
                </c:pt>
                <c:pt idx="223">
                  <c:v>2019/10/30</c:v>
                </c:pt>
                <c:pt idx="224">
                  <c:v>2019/10/31</c:v>
                </c:pt>
                <c:pt idx="225">
                  <c:v>2019/11/1</c:v>
                </c:pt>
                <c:pt idx="226">
                  <c:v>2019/11/4</c:v>
                </c:pt>
                <c:pt idx="227">
                  <c:v>2019/11/5</c:v>
                </c:pt>
                <c:pt idx="228">
                  <c:v>2019/11/6</c:v>
                </c:pt>
                <c:pt idx="229">
                  <c:v>2019/11/7</c:v>
                </c:pt>
                <c:pt idx="230">
                  <c:v>2019/11/8</c:v>
                </c:pt>
                <c:pt idx="231">
                  <c:v>2019/11/11</c:v>
                </c:pt>
                <c:pt idx="232">
                  <c:v>2019/11/12</c:v>
                </c:pt>
                <c:pt idx="233">
                  <c:v>2019/11/13</c:v>
                </c:pt>
                <c:pt idx="234">
                  <c:v>2019/11/14</c:v>
                </c:pt>
                <c:pt idx="235">
                  <c:v>2019/11/15</c:v>
                </c:pt>
                <c:pt idx="236">
                  <c:v>2019/11/18</c:v>
                </c:pt>
                <c:pt idx="237">
                  <c:v>2019/11/19</c:v>
                </c:pt>
                <c:pt idx="238">
                  <c:v>2019/11/20</c:v>
                </c:pt>
                <c:pt idx="239">
                  <c:v>2019/11/21</c:v>
                </c:pt>
                <c:pt idx="240">
                  <c:v>2019/11/22</c:v>
                </c:pt>
                <c:pt idx="241">
                  <c:v>2019/11/25</c:v>
                </c:pt>
                <c:pt idx="242">
                  <c:v>2019/11/26</c:v>
                </c:pt>
                <c:pt idx="243">
                  <c:v>2019/11/27</c:v>
                </c:pt>
                <c:pt idx="244">
                  <c:v>2019/11/28</c:v>
                </c:pt>
                <c:pt idx="245">
                  <c:v>2019/11/29</c:v>
                </c:pt>
                <c:pt idx="246">
                  <c:v>2019/12/2</c:v>
                </c:pt>
                <c:pt idx="247">
                  <c:v>2019/12/3</c:v>
                </c:pt>
                <c:pt idx="248">
                  <c:v>2019/12/4</c:v>
                </c:pt>
                <c:pt idx="249">
                  <c:v>2019/12/5</c:v>
                </c:pt>
                <c:pt idx="250">
                  <c:v>2019/12/6</c:v>
                </c:pt>
                <c:pt idx="251">
                  <c:v>2019/12/9</c:v>
                </c:pt>
                <c:pt idx="252">
                  <c:v>2019/12/10</c:v>
                </c:pt>
                <c:pt idx="253">
                  <c:v>2019/12/11</c:v>
                </c:pt>
                <c:pt idx="254">
                  <c:v>2019/12/12</c:v>
                </c:pt>
                <c:pt idx="255">
                  <c:v>2019/12/13</c:v>
                </c:pt>
                <c:pt idx="256">
                  <c:v>2019/12/16</c:v>
                </c:pt>
                <c:pt idx="257">
                  <c:v>2019/12/17</c:v>
                </c:pt>
                <c:pt idx="258">
                  <c:v>2019/12/18</c:v>
                </c:pt>
                <c:pt idx="259">
                  <c:v>2019/12/19</c:v>
                </c:pt>
                <c:pt idx="260">
                  <c:v>2019/12/20</c:v>
                </c:pt>
                <c:pt idx="261">
                  <c:v>2019/12/23</c:v>
                </c:pt>
                <c:pt idx="262">
                  <c:v>2019/12/24</c:v>
                </c:pt>
                <c:pt idx="263">
                  <c:v>2019/12/25</c:v>
                </c:pt>
                <c:pt idx="264">
                  <c:v>2019/12/26</c:v>
                </c:pt>
                <c:pt idx="265">
                  <c:v>2019/12/27</c:v>
                </c:pt>
                <c:pt idx="266">
                  <c:v>2019/12/30</c:v>
                </c:pt>
                <c:pt idx="267">
                  <c:v>2019/12/31</c:v>
                </c:pt>
                <c:pt idx="268">
                  <c:v>2020/1/2</c:v>
                </c:pt>
                <c:pt idx="269">
                  <c:v>2020/1/3</c:v>
                </c:pt>
                <c:pt idx="270">
                  <c:v>2020/1/6</c:v>
                </c:pt>
                <c:pt idx="271">
                  <c:v>2020/1/7</c:v>
                </c:pt>
                <c:pt idx="272">
                  <c:v>2020/1/8</c:v>
                </c:pt>
                <c:pt idx="273">
                  <c:v>2020/1/9</c:v>
                </c:pt>
                <c:pt idx="274">
                  <c:v>2020/1/10</c:v>
                </c:pt>
                <c:pt idx="275">
                  <c:v>2020/1/13</c:v>
                </c:pt>
                <c:pt idx="276">
                  <c:v>2020/1/14</c:v>
                </c:pt>
                <c:pt idx="277">
                  <c:v>2020/1/15</c:v>
                </c:pt>
                <c:pt idx="278">
                  <c:v>2020/1/16</c:v>
                </c:pt>
                <c:pt idx="279">
                  <c:v>2020/1/17</c:v>
                </c:pt>
                <c:pt idx="280">
                  <c:v>2020/1/20</c:v>
                </c:pt>
                <c:pt idx="281">
                  <c:v>2020/1/21</c:v>
                </c:pt>
                <c:pt idx="282">
                  <c:v>2020/1/22</c:v>
                </c:pt>
                <c:pt idx="283">
                  <c:v>2020/1/23</c:v>
                </c:pt>
                <c:pt idx="284">
                  <c:v>2020/2/3</c:v>
                </c:pt>
                <c:pt idx="285">
                  <c:v>2020/2/4</c:v>
                </c:pt>
                <c:pt idx="286">
                  <c:v>2020/2/5</c:v>
                </c:pt>
                <c:pt idx="287">
                  <c:v>2020/2/6</c:v>
                </c:pt>
                <c:pt idx="288">
                  <c:v>2020/2/7</c:v>
                </c:pt>
                <c:pt idx="289">
                  <c:v>2020/2/10</c:v>
                </c:pt>
                <c:pt idx="290">
                  <c:v>2020/2/11</c:v>
                </c:pt>
                <c:pt idx="291">
                  <c:v>2020/2/12</c:v>
                </c:pt>
                <c:pt idx="292">
                  <c:v>2020/2/13</c:v>
                </c:pt>
                <c:pt idx="293">
                  <c:v>2020/2/14</c:v>
                </c:pt>
                <c:pt idx="294">
                  <c:v>2020/2/17</c:v>
                </c:pt>
                <c:pt idx="295">
                  <c:v>2020/2/18</c:v>
                </c:pt>
                <c:pt idx="296">
                  <c:v>2020/2/19</c:v>
                </c:pt>
                <c:pt idx="297">
                  <c:v>2020/2/20</c:v>
                </c:pt>
                <c:pt idx="298">
                  <c:v>2020/2/21</c:v>
                </c:pt>
                <c:pt idx="299">
                  <c:v>2020/2/24</c:v>
                </c:pt>
                <c:pt idx="300">
                  <c:v>2020/2/25</c:v>
                </c:pt>
                <c:pt idx="301">
                  <c:v>2020/2/26</c:v>
                </c:pt>
                <c:pt idx="302">
                  <c:v>2020/2/27</c:v>
                </c:pt>
                <c:pt idx="303">
                  <c:v>2020/2/28</c:v>
                </c:pt>
                <c:pt idx="304">
                  <c:v>2020/3/2</c:v>
                </c:pt>
                <c:pt idx="305">
                  <c:v>2020/3/3</c:v>
                </c:pt>
                <c:pt idx="306">
                  <c:v>2020/3/4</c:v>
                </c:pt>
                <c:pt idx="307">
                  <c:v>2020/3/5</c:v>
                </c:pt>
                <c:pt idx="308">
                  <c:v>2020/3/6</c:v>
                </c:pt>
                <c:pt idx="309">
                  <c:v>2020/3/9</c:v>
                </c:pt>
                <c:pt idx="310">
                  <c:v>2020/3/10</c:v>
                </c:pt>
                <c:pt idx="311">
                  <c:v>2020/3/11</c:v>
                </c:pt>
                <c:pt idx="312">
                  <c:v>2020/3/12</c:v>
                </c:pt>
                <c:pt idx="313">
                  <c:v>2020/3/13</c:v>
                </c:pt>
                <c:pt idx="314">
                  <c:v>2020/3/16</c:v>
                </c:pt>
                <c:pt idx="315">
                  <c:v>2020/3/17</c:v>
                </c:pt>
                <c:pt idx="316">
                  <c:v>2020/3/18</c:v>
                </c:pt>
                <c:pt idx="317">
                  <c:v>2020/3/19</c:v>
                </c:pt>
                <c:pt idx="318">
                  <c:v>2020/3/20</c:v>
                </c:pt>
                <c:pt idx="319">
                  <c:v>2020/3/23</c:v>
                </c:pt>
                <c:pt idx="320">
                  <c:v>2020/3/24</c:v>
                </c:pt>
                <c:pt idx="321">
                  <c:v>2020/3/25</c:v>
                </c:pt>
                <c:pt idx="322">
                  <c:v>2020/3/26</c:v>
                </c:pt>
                <c:pt idx="323">
                  <c:v>2020/3/27</c:v>
                </c:pt>
                <c:pt idx="324">
                  <c:v>2020/3/30</c:v>
                </c:pt>
                <c:pt idx="325">
                  <c:v>2020/3/31</c:v>
                </c:pt>
                <c:pt idx="326">
                  <c:v>2020/4/1</c:v>
                </c:pt>
                <c:pt idx="327">
                  <c:v>2020/4/2</c:v>
                </c:pt>
                <c:pt idx="328">
                  <c:v>2020/4/3</c:v>
                </c:pt>
                <c:pt idx="329">
                  <c:v>2020/4/7</c:v>
                </c:pt>
                <c:pt idx="330">
                  <c:v>2020/4/8</c:v>
                </c:pt>
                <c:pt idx="331">
                  <c:v>2020/4/9</c:v>
                </c:pt>
                <c:pt idx="332">
                  <c:v>2020/4/10</c:v>
                </c:pt>
                <c:pt idx="333">
                  <c:v>2020/4/13</c:v>
                </c:pt>
                <c:pt idx="334">
                  <c:v>2020/4/14</c:v>
                </c:pt>
                <c:pt idx="335">
                  <c:v>2020/4/15</c:v>
                </c:pt>
                <c:pt idx="336">
                  <c:v>2020/4/16</c:v>
                </c:pt>
                <c:pt idx="337">
                  <c:v>2020/4/17</c:v>
                </c:pt>
                <c:pt idx="338">
                  <c:v>2020/4/20</c:v>
                </c:pt>
                <c:pt idx="339">
                  <c:v>2020/4/21</c:v>
                </c:pt>
                <c:pt idx="340">
                  <c:v>2020/4/22</c:v>
                </c:pt>
                <c:pt idx="341">
                  <c:v>2020/4/23</c:v>
                </c:pt>
                <c:pt idx="342">
                  <c:v>2020/4/24</c:v>
                </c:pt>
                <c:pt idx="343">
                  <c:v>2020/4/27</c:v>
                </c:pt>
                <c:pt idx="344">
                  <c:v>2020/4/28</c:v>
                </c:pt>
                <c:pt idx="345">
                  <c:v>2020/4/29</c:v>
                </c:pt>
                <c:pt idx="346">
                  <c:v>2020/4/30</c:v>
                </c:pt>
                <c:pt idx="347">
                  <c:v>2020/5/6</c:v>
                </c:pt>
                <c:pt idx="348">
                  <c:v>2020/5/7</c:v>
                </c:pt>
                <c:pt idx="349">
                  <c:v>2020/5/8</c:v>
                </c:pt>
                <c:pt idx="350">
                  <c:v>2020/5/11</c:v>
                </c:pt>
                <c:pt idx="351">
                  <c:v>2020/5/12</c:v>
                </c:pt>
                <c:pt idx="352">
                  <c:v>2020/5/13</c:v>
                </c:pt>
                <c:pt idx="353">
                  <c:v>2020/5/14</c:v>
                </c:pt>
                <c:pt idx="354">
                  <c:v>2020/5/15</c:v>
                </c:pt>
                <c:pt idx="355">
                  <c:v>2020/5/18</c:v>
                </c:pt>
                <c:pt idx="356">
                  <c:v>2020/5/19</c:v>
                </c:pt>
                <c:pt idx="357">
                  <c:v>2020/5/20</c:v>
                </c:pt>
                <c:pt idx="358">
                  <c:v>2020/5/21</c:v>
                </c:pt>
                <c:pt idx="359">
                  <c:v>2020/5/22</c:v>
                </c:pt>
                <c:pt idx="360">
                  <c:v>2020/5/25</c:v>
                </c:pt>
                <c:pt idx="361">
                  <c:v>2020/5/26</c:v>
                </c:pt>
                <c:pt idx="362">
                  <c:v>2020/5/27</c:v>
                </c:pt>
                <c:pt idx="363">
                  <c:v>2020/5/28</c:v>
                </c:pt>
                <c:pt idx="364">
                  <c:v>2020/5/29</c:v>
                </c:pt>
                <c:pt idx="365">
                  <c:v>2020/6/1</c:v>
                </c:pt>
                <c:pt idx="366">
                  <c:v>2020/6/2</c:v>
                </c:pt>
                <c:pt idx="367">
                  <c:v>2020/6/3</c:v>
                </c:pt>
                <c:pt idx="368">
                  <c:v>2020/6/4</c:v>
                </c:pt>
                <c:pt idx="369">
                  <c:v>2020/6/5</c:v>
                </c:pt>
                <c:pt idx="370">
                  <c:v>2020/6/8</c:v>
                </c:pt>
                <c:pt idx="371">
                  <c:v>2020/6/9</c:v>
                </c:pt>
                <c:pt idx="372">
                  <c:v>2020/6/10</c:v>
                </c:pt>
                <c:pt idx="373">
                  <c:v>2020/6/11</c:v>
                </c:pt>
                <c:pt idx="374">
                  <c:v>2020/6/12</c:v>
                </c:pt>
                <c:pt idx="375">
                  <c:v>2020/6/15</c:v>
                </c:pt>
                <c:pt idx="376">
                  <c:v>2020/6/16</c:v>
                </c:pt>
                <c:pt idx="377">
                  <c:v>2020/6/17</c:v>
                </c:pt>
                <c:pt idx="378">
                  <c:v>2020/6/18</c:v>
                </c:pt>
                <c:pt idx="379">
                  <c:v>2020/6/19</c:v>
                </c:pt>
                <c:pt idx="380">
                  <c:v>2020/6/22</c:v>
                </c:pt>
                <c:pt idx="381">
                  <c:v>2020/6/23</c:v>
                </c:pt>
                <c:pt idx="382">
                  <c:v>2020/6/24</c:v>
                </c:pt>
                <c:pt idx="383">
                  <c:v>2020/6/29</c:v>
                </c:pt>
                <c:pt idx="384">
                  <c:v>2020/6/30</c:v>
                </c:pt>
                <c:pt idx="385">
                  <c:v>2020/7/1</c:v>
                </c:pt>
                <c:pt idx="386">
                  <c:v>2020/7/2</c:v>
                </c:pt>
                <c:pt idx="387">
                  <c:v>2020/7/3</c:v>
                </c:pt>
                <c:pt idx="388">
                  <c:v>2020/7/6</c:v>
                </c:pt>
                <c:pt idx="389">
                  <c:v>2020/7/7</c:v>
                </c:pt>
                <c:pt idx="390">
                  <c:v>2020/7/8</c:v>
                </c:pt>
                <c:pt idx="391">
                  <c:v>2020/7/9</c:v>
                </c:pt>
                <c:pt idx="392">
                  <c:v>2020/7/10</c:v>
                </c:pt>
                <c:pt idx="393">
                  <c:v>2020/7/13</c:v>
                </c:pt>
                <c:pt idx="394">
                  <c:v>2020/7/14</c:v>
                </c:pt>
                <c:pt idx="395">
                  <c:v>2020/7/15</c:v>
                </c:pt>
                <c:pt idx="396">
                  <c:v>2020/7/16</c:v>
                </c:pt>
                <c:pt idx="397">
                  <c:v>2020/7/17</c:v>
                </c:pt>
                <c:pt idx="398">
                  <c:v>2020/7/20</c:v>
                </c:pt>
                <c:pt idx="399">
                  <c:v>2020/7/21</c:v>
                </c:pt>
                <c:pt idx="400">
                  <c:v>2020/7/22</c:v>
                </c:pt>
                <c:pt idx="401">
                  <c:v>2020/7/23</c:v>
                </c:pt>
                <c:pt idx="402">
                  <c:v>2020/7/24</c:v>
                </c:pt>
                <c:pt idx="403">
                  <c:v>2020/7/27</c:v>
                </c:pt>
                <c:pt idx="404">
                  <c:v>2020/7/28</c:v>
                </c:pt>
                <c:pt idx="405">
                  <c:v>2020/7/29</c:v>
                </c:pt>
                <c:pt idx="406">
                  <c:v>2020/7/30</c:v>
                </c:pt>
                <c:pt idx="407">
                  <c:v>2020/7/31</c:v>
                </c:pt>
                <c:pt idx="408">
                  <c:v>2020/8/3</c:v>
                </c:pt>
                <c:pt idx="409">
                  <c:v>2020/8/4</c:v>
                </c:pt>
                <c:pt idx="410">
                  <c:v>2020/8/5</c:v>
                </c:pt>
                <c:pt idx="411">
                  <c:v>2020/8/6</c:v>
                </c:pt>
                <c:pt idx="412">
                  <c:v>2020/8/7</c:v>
                </c:pt>
                <c:pt idx="413">
                  <c:v>2020/8/10</c:v>
                </c:pt>
                <c:pt idx="414">
                  <c:v>2020/8/11</c:v>
                </c:pt>
                <c:pt idx="415">
                  <c:v>2020/8/12</c:v>
                </c:pt>
                <c:pt idx="416">
                  <c:v>2020/8/13</c:v>
                </c:pt>
                <c:pt idx="417">
                  <c:v>2020/8/14</c:v>
                </c:pt>
                <c:pt idx="418">
                  <c:v>2020/8/17</c:v>
                </c:pt>
                <c:pt idx="419">
                  <c:v>2020/8/18</c:v>
                </c:pt>
                <c:pt idx="420">
                  <c:v>2020/8/19</c:v>
                </c:pt>
                <c:pt idx="421">
                  <c:v>2020/8/20</c:v>
                </c:pt>
                <c:pt idx="422">
                  <c:v>2020/8/21</c:v>
                </c:pt>
                <c:pt idx="423">
                  <c:v>2020/8/24</c:v>
                </c:pt>
                <c:pt idx="424">
                  <c:v>2020/8/25</c:v>
                </c:pt>
                <c:pt idx="425">
                  <c:v>2020/8/26</c:v>
                </c:pt>
                <c:pt idx="426">
                  <c:v>2020/8/27</c:v>
                </c:pt>
                <c:pt idx="427">
                  <c:v>2020/8/28</c:v>
                </c:pt>
                <c:pt idx="428">
                  <c:v>2020/8/31</c:v>
                </c:pt>
                <c:pt idx="429">
                  <c:v>2020/9/1</c:v>
                </c:pt>
                <c:pt idx="430">
                  <c:v>2020/9/2</c:v>
                </c:pt>
                <c:pt idx="431">
                  <c:v>2020/9/3</c:v>
                </c:pt>
                <c:pt idx="432">
                  <c:v>2020/9/4</c:v>
                </c:pt>
                <c:pt idx="433">
                  <c:v>2020/9/7</c:v>
                </c:pt>
                <c:pt idx="434">
                  <c:v>2020/9/8</c:v>
                </c:pt>
                <c:pt idx="435">
                  <c:v>2020/9/9</c:v>
                </c:pt>
                <c:pt idx="436">
                  <c:v>2020/9/10</c:v>
                </c:pt>
                <c:pt idx="437">
                  <c:v>2020/9/11</c:v>
                </c:pt>
                <c:pt idx="438">
                  <c:v>2020/9/14</c:v>
                </c:pt>
                <c:pt idx="439">
                  <c:v>2020/9/15</c:v>
                </c:pt>
                <c:pt idx="440">
                  <c:v>2020/9/16</c:v>
                </c:pt>
                <c:pt idx="441">
                  <c:v>2020/9/17</c:v>
                </c:pt>
                <c:pt idx="442">
                  <c:v>2020/9/18</c:v>
                </c:pt>
                <c:pt idx="443">
                  <c:v>2020/9/21</c:v>
                </c:pt>
                <c:pt idx="444">
                  <c:v>2020/9/22</c:v>
                </c:pt>
                <c:pt idx="445">
                  <c:v>2020/9/23</c:v>
                </c:pt>
                <c:pt idx="446">
                  <c:v>2020/9/24</c:v>
                </c:pt>
                <c:pt idx="447">
                  <c:v>2020/9/25</c:v>
                </c:pt>
                <c:pt idx="448">
                  <c:v>2020/9/28</c:v>
                </c:pt>
                <c:pt idx="449">
                  <c:v>2020/9/29</c:v>
                </c:pt>
                <c:pt idx="450">
                  <c:v>2020/9/30</c:v>
                </c:pt>
                <c:pt idx="451">
                  <c:v>2020/10/9</c:v>
                </c:pt>
                <c:pt idx="452">
                  <c:v>2020/10/12</c:v>
                </c:pt>
                <c:pt idx="453">
                  <c:v>2020/10/13</c:v>
                </c:pt>
                <c:pt idx="454">
                  <c:v>2020/10/14</c:v>
                </c:pt>
                <c:pt idx="455">
                  <c:v>2020/10/15</c:v>
                </c:pt>
                <c:pt idx="456">
                  <c:v>2020/10/16</c:v>
                </c:pt>
                <c:pt idx="457">
                  <c:v>2020/10/19</c:v>
                </c:pt>
                <c:pt idx="458">
                  <c:v>2020/10/20</c:v>
                </c:pt>
                <c:pt idx="459">
                  <c:v>2020/10/21</c:v>
                </c:pt>
                <c:pt idx="460">
                  <c:v>2020/10/22</c:v>
                </c:pt>
                <c:pt idx="461">
                  <c:v>2020/10/23</c:v>
                </c:pt>
                <c:pt idx="462">
                  <c:v>2020/10/26</c:v>
                </c:pt>
                <c:pt idx="463">
                  <c:v>2020/10/27</c:v>
                </c:pt>
                <c:pt idx="464">
                  <c:v>2020/10/28</c:v>
                </c:pt>
                <c:pt idx="465">
                  <c:v>2020/10/29</c:v>
                </c:pt>
                <c:pt idx="466">
                  <c:v>2020/10/30</c:v>
                </c:pt>
                <c:pt idx="467">
                  <c:v>2020/11/2</c:v>
                </c:pt>
                <c:pt idx="468">
                  <c:v>2020/11/3</c:v>
                </c:pt>
                <c:pt idx="469">
                  <c:v>2020/11/4</c:v>
                </c:pt>
                <c:pt idx="470">
                  <c:v>2020/11/5</c:v>
                </c:pt>
                <c:pt idx="471">
                  <c:v>2020/11/6</c:v>
                </c:pt>
                <c:pt idx="472">
                  <c:v>2020/11/9</c:v>
                </c:pt>
                <c:pt idx="473">
                  <c:v>2020/11/10</c:v>
                </c:pt>
                <c:pt idx="474">
                  <c:v>2020/11/11</c:v>
                </c:pt>
                <c:pt idx="475">
                  <c:v>2020/11/12</c:v>
                </c:pt>
                <c:pt idx="476">
                  <c:v>2020/11/13</c:v>
                </c:pt>
                <c:pt idx="477">
                  <c:v>2020/11/16</c:v>
                </c:pt>
                <c:pt idx="478">
                  <c:v>2020/11/17</c:v>
                </c:pt>
                <c:pt idx="479">
                  <c:v>2020/11/18</c:v>
                </c:pt>
                <c:pt idx="480">
                  <c:v>2020/11/19</c:v>
                </c:pt>
                <c:pt idx="481">
                  <c:v>2020/11/20</c:v>
                </c:pt>
                <c:pt idx="482">
                  <c:v>2020/11/23</c:v>
                </c:pt>
                <c:pt idx="483">
                  <c:v>2020/11/24</c:v>
                </c:pt>
                <c:pt idx="484">
                  <c:v>2020/11/25</c:v>
                </c:pt>
                <c:pt idx="485">
                  <c:v>2020/11/26</c:v>
                </c:pt>
                <c:pt idx="486">
                  <c:v>2020/11/27</c:v>
                </c:pt>
                <c:pt idx="487">
                  <c:v>2020/11/30</c:v>
                </c:pt>
                <c:pt idx="488">
                  <c:v>2020/12/1</c:v>
                </c:pt>
                <c:pt idx="489">
                  <c:v>2020/12/2</c:v>
                </c:pt>
                <c:pt idx="490">
                  <c:v>2020/12/3</c:v>
                </c:pt>
                <c:pt idx="491">
                  <c:v>2020/12/4</c:v>
                </c:pt>
                <c:pt idx="492">
                  <c:v>2020/12/7</c:v>
                </c:pt>
                <c:pt idx="493">
                  <c:v>2020/12/8</c:v>
                </c:pt>
                <c:pt idx="494">
                  <c:v>2020/12/9</c:v>
                </c:pt>
                <c:pt idx="495">
                  <c:v>2020/12/10</c:v>
                </c:pt>
                <c:pt idx="496">
                  <c:v>2020/12/11</c:v>
                </c:pt>
                <c:pt idx="497">
                  <c:v>2020/12/14</c:v>
                </c:pt>
                <c:pt idx="498">
                  <c:v>2020/12/15</c:v>
                </c:pt>
                <c:pt idx="499">
                  <c:v>2020/12/16</c:v>
                </c:pt>
                <c:pt idx="500">
                  <c:v>2020/12/17</c:v>
                </c:pt>
                <c:pt idx="501">
                  <c:v>2020/12/18</c:v>
                </c:pt>
                <c:pt idx="502">
                  <c:v>2020/12/21</c:v>
                </c:pt>
                <c:pt idx="503">
                  <c:v>2020/12/22</c:v>
                </c:pt>
                <c:pt idx="504">
                  <c:v>2020/12/23</c:v>
                </c:pt>
                <c:pt idx="505">
                  <c:v>2020/12/24</c:v>
                </c:pt>
                <c:pt idx="506">
                  <c:v>2020/12/25</c:v>
                </c:pt>
                <c:pt idx="507">
                  <c:v>2020/12/28</c:v>
                </c:pt>
                <c:pt idx="508">
                  <c:v>2020/12/29</c:v>
                </c:pt>
                <c:pt idx="509">
                  <c:v>2020/12/30</c:v>
                </c:pt>
                <c:pt idx="510">
                  <c:v>2020/12/31</c:v>
                </c:pt>
                <c:pt idx="511">
                  <c:v>(空白)</c:v>
                </c:pt>
              </c:strCache>
            </c:strRef>
          </c:cat>
          <c:val>
            <c:numRef>
              <c:f>Sheet1!$B$4:$B$516</c:f>
              <c:numCache>
                <c:formatCode>General</c:formatCode>
                <c:ptCount val="512"/>
                <c:pt idx="0">
                  <c:v>41.632959413003846</c:v>
                </c:pt>
                <c:pt idx="1">
                  <c:v>367.42275063305351</c:v>
                </c:pt>
                <c:pt idx="2">
                  <c:v>121.04159049128793</c:v>
                </c:pt>
                <c:pt idx="3">
                  <c:v>322.15532497253298</c:v>
                </c:pt>
                <c:pt idx="4">
                  <c:v>949.09084949178941</c:v>
                </c:pt>
                <c:pt idx="5">
                  <c:v>950.23466652609204</c:v>
                </c:pt>
                <c:pt idx="6">
                  <c:v>826.64300775486117</c:v>
                </c:pt>
                <c:pt idx="7">
                  <c:v>393.43839867728093</c:v>
                </c:pt>
                <c:pt idx="8">
                  <c:v>354.52386156658395</c:v>
                </c:pt>
                <c:pt idx="9">
                  <c:v>83.176790225923469</c:v>
                </c:pt>
                <c:pt idx="10">
                  <c:v>196.76623943312734</c:v>
                </c:pt>
                <c:pt idx="11">
                  <c:v>243.65283466167966</c:v>
                </c:pt>
                <c:pt idx="12">
                  <c:v>614.93287304243495</c:v>
                </c:pt>
                <c:pt idx="13">
                  <c:v>226.96406853001827</c:v>
                </c:pt>
                <c:pt idx="14">
                  <c:v>185.67970890938159</c:v>
                </c:pt>
                <c:pt idx="15">
                  <c:v>-95.910132366076141</c:v>
                </c:pt>
                <c:pt idx="16">
                  <c:v>-387.77486508071524</c:v>
                </c:pt>
                <c:pt idx="17">
                  <c:v>-556.44150444445404</c:v>
                </c:pt>
                <c:pt idx="18">
                  <c:v>-862.84792390002258</c:v>
                </c:pt>
                <c:pt idx="19">
                  <c:v>-782.68142581393113</c:v>
                </c:pt>
                <c:pt idx="20">
                  <c:v>-968.60984238728633</c:v>
                </c:pt>
                <c:pt idx="21">
                  <c:v>-1110.261772206577</c:v>
                </c:pt>
                <c:pt idx="22">
                  <c:v>-1152.8147997913402</c:v>
                </c:pt>
                <c:pt idx="23">
                  <c:v>-1092.5757983502299</c:v>
                </c:pt>
                <c:pt idx="24">
                  <c:v>-1355.9265146299949</c:v>
                </c:pt>
                <c:pt idx="25">
                  <c:v>-1106.9392310499388</c:v>
                </c:pt>
                <c:pt idx="26">
                  <c:v>656.67817140238185</c:v>
                </c:pt>
                <c:pt idx="27">
                  <c:v>1408.8770537786477</c:v>
                </c:pt>
                <c:pt idx="28">
                  <c:v>1249.7787183317269</c:v>
                </c:pt>
                <c:pt idx="29">
                  <c:v>1650.0087899046048</c:v>
                </c:pt>
                <c:pt idx="30">
                  <c:v>1613.6181341769552</c:v>
                </c:pt>
                <c:pt idx="31">
                  <c:v>2295.3722269048158</c:v>
                </c:pt>
                <c:pt idx="32">
                  <c:v>1626.6167152634298</c:v>
                </c:pt>
                <c:pt idx="33">
                  <c:v>2903.7541635825182</c:v>
                </c:pt>
                <c:pt idx="34">
                  <c:v>1747.7130006331281</c:v>
                </c:pt>
                <c:pt idx="35">
                  <c:v>1255.1500328302936</c:v>
                </c:pt>
                <c:pt idx="36">
                  <c:v>3538.8315333179926</c:v>
                </c:pt>
                <c:pt idx="37">
                  <c:v>3956.7600861635437</c:v>
                </c:pt>
                <c:pt idx="38">
                  <c:v>2969.0022064536024</c:v>
                </c:pt>
                <c:pt idx="39">
                  <c:v>2835.5653260234685</c:v>
                </c:pt>
                <c:pt idx="40">
                  <c:v>3453.9916208134673</c:v>
                </c:pt>
                <c:pt idx="41">
                  <c:v>3860.0227120447526</c:v>
                </c:pt>
                <c:pt idx="42">
                  <c:v>3716.1251966287236</c:v>
                </c:pt>
                <c:pt idx="43">
                  <c:v>3734.8576559424109</c:v>
                </c:pt>
                <c:pt idx="44">
                  <c:v>3324.6637959747459</c:v>
                </c:pt>
                <c:pt idx="45">
                  <c:v>3846.2587186422315</c:v>
                </c:pt>
                <c:pt idx="46">
                  <c:v>5196.7817512977053</c:v>
                </c:pt>
                <c:pt idx="47">
                  <c:v>6327.9805846912932</c:v>
                </c:pt>
                <c:pt idx="48">
                  <c:v>6902.3755288794637</c:v>
                </c:pt>
                <c:pt idx="49">
                  <c:v>8534.4628675486892</c:v>
                </c:pt>
                <c:pt idx="50">
                  <c:v>8626.876333496155</c:v>
                </c:pt>
                <c:pt idx="51">
                  <c:v>7406.2719702742615</c:v>
                </c:pt>
                <c:pt idx="52">
                  <c:v>9894.2648460003693</c:v>
                </c:pt>
                <c:pt idx="53">
                  <c:v>9866.360867180425</c:v>
                </c:pt>
                <c:pt idx="54">
                  <c:v>9938.3096248884685</c:v>
                </c:pt>
                <c:pt idx="55">
                  <c:v>9729.7549111961853</c:v>
                </c:pt>
                <c:pt idx="56">
                  <c:v>11840.963503135616</c:v>
                </c:pt>
                <c:pt idx="57">
                  <c:v>17630.824255693675</c:v>
                </c:pt>
                <c:pt idx="58">
                  <c:v>15693.297118064715</c:v>
                </c:pt>
                <c:pt idx="59">
                  <c:v>15524.436418516707</c:v>
                </c:pt>
                <c:pt idx="60">
                  <c:v>15329.068281918357</c:v>
                </c:pt>
                <c:pt idx="61">
                  <c:v>16744.623162036325</c:v>
                </c:pt>
                <c:pt idx="62">
                  <c:v>17571.080467355001</c:v>
                </c:pt>
                <c:pt idx="63">
                  <c:v>18413.598003024294</c:v>
                </c:pt>
                <c:pt idx="64">
                  <c:v>18991.511158209032</c:v>
                </c:pt>
                <c:pt idx="65">
                  <c:v>18229.281346006726</c:v>
                </c:pt>
                <c:pt idx="66">
                  <c:v>15685.722221793141</c:v>
                </c:pt>
                <c:pt idx="67">
                  <c:v>17039.29347542653</c:v>
                </c:pt>
                <c:pt idx="68">
                  <c:v>18003.806991644044</c:v>
                </c:pt>
                <c:pt idx="69">
                  <c:v>17243.712276954917</c:v>
                </c:pt>
                <c:pt idx="70">
                  <c:v>16406.122922338036</c:v>
                </c:pt>
                <c:pt idx="71">
                  <c:v>17164.84795183003</c:v>
                </c:pt>
                <c:pt idx="72">
                  <c:v>19270.577802980959</c:v>
                </c:pt>
                <c:pt idx="73">
                  <c:v>19026.169565010874</c:v>
                </c:pt>
                <c:pt idx="74">
                  <c:v>18841.659540671346</c:v>
                </c:pt>
                <c:pt idx="75">
                  <c:v>18972.545046714644</c:v>
                </c:pt>
                <c:pt idx="76">
                  <c:v>19192.25866627763</c:v>
                </c:pt>
                <c:pt idx="77">
                  <c:v>18214.719712401158</c:v>
                </c:pt>
                <c:pt idx="78">
                  <c:v>16841.811726573011</c:v>
                </c:pt>
                <c:pt idx="79">
                  <c:v>17242.659499313202</c:v>
                </c:pt>
                <c:pt idx="80">
                  <c:v>16943.477281744228</c:v>
                </c:pt>
                <c:pt idx="81">
                  <c:v>19910.725693603061</c:v>
                </c:pt>
                <c:pt idx="82">
                  <c:v>22278.253413413069</c:v>
                </c:pt>
                <c:pt idx="83">
                  <c:v>22194.635474956958</c:v>
                </c:pt>
                <c:pt idx="84">
                  <c:v>23170.979311357514</c:v>
                </c:pt>
                <c:pt idx="85">
                  <c:v>23972.124297101793</c:v>
                </c:pt>
                <c:pt idx="86">
                  <c:v>23311.976316944332</c:v>
                </c:pt>
                <c:pt idx="87">
                  <c:v>23593.956899831697</c:v>
                </c:pt>
                <c:pt idx="88">
                  <c:v>23586.557914109959</c:v>
                </c:pt>
                <c:pt idx="89">
                  <c:v>22184.940252287081</c:v>
                </c:pt>
                <c:pt idx="90">
                  <c:v>21953.758876269698</c:v>
                </c:pt>
                <c:pt idx="91">
                  <c:v>21514.022786560046</c:v>
                </c:pt>
                <c:pt idx="92">
                  <c:v>23682.382164764</c:v>
                </c:pt>
                <c:pt idx="93">
                  <c:v>23540.539177143684</c:v>
                </c:pt>
                <c:pt idx="94">
                  <c:v>23506.793893806564</c:v>
                </c:pt>
                <c:pt idx="95">
                  <c:v>24405.777373141827</c:v>
                </c:pt>
                <c:pt idx="96">
                  <c:v>22609.39495224836</c:v>
                </c:pt>
                <c:pt idx="97">
                  <c:v>21968.825413438128</c:v>
                </c:pt>
                <c:pt idx="98">
                  <c:v>22236.813722056759</c:v>
                </c:pt>
                <c:pt idx="99">
                  <c:v>20275.988507790389</c:v>
                </c:pt>
                <c:pt idx="100">
                  <c:v>19381.208082050216</c:v>
                </c:pt>
                <c:pt idx="101">
                  <c:v>19168.168320751676</c:v>
                </c:pt>
                <c:pt idx="102">
                  <c:v>19346.334822668417</c:v>
                </c:pt>
                <c:pt idx="103">
                  <c:v>14728.938027139026</c:v>
                </c:pt>
                <c:pt idx="104">
                  <c:v>15409.913279264569</c:v>
                </c:pt>
                <c:pt idx="105">
                  <c:v>14659.336533866866</c:v>
                </c:pt>
                <c:pt idx="106">
                  <c:v>13809.836289349492</c:v>
                </c:pt>
                <c:pt idx="107">
                  <c:v>16251.998424116784</c:v>
                </c:pt>
                <c:pt idx="108">
                  <c:v>15046.715735501974</c:v>
                </c:pt>
                <c:pt idx="109">
                  <c:v>14576.363153150611</c:v>
                </c:pt>
                <c:pt idx="110">
                  <c:v>15906.11262698294</c:v>
                </c:pt>
                <c:pt idx="111">
                  <c:v>16498.796897038657</c:v>
                </c:pt>
                <c:pt idx="112">
                  <c:v>14592.665092653711</c:v>
                </c:pt>
                <c:pt idx="113">
                  <c:v>14583.399575143703</c:v>
                </c:pt>
                <c:pt idx="114">
                  <c:v>15495.99933673277</c:v>
                </c:pt>
                <c:pt idx="115">
                  <c:v>15234.765456096036</c:v>
                </c:pt>
                <c:pt idx="116">
                  <c:v>14136.533065437237</c:v>
                </c:pt>
                <c:pt idx="117">
                  <c:v>13531.978190339723</c:v>
                </c:pt>
                <c:pt idx="118">
                  <c:v>15027.003011292298</c:v>
                </c:pt>
                <c:pt idx="119">
                  <c:v>15117.8856526077</c:v>
                </c:pt>
                <c:pt idx="120">
                  <c:v>15196.951402026287</c:v>
                </c:pt>
                <c:pt idx="121">
                  <c:v>14946.701859539055</c:v>
                </c:pt>
                <c:pt idx="122">
                  <c:v>14688.637054456442</c:v>
                </c:pt>
                <c:pt idx="123">
                  <c:v>14486.501061589952</c:v>
                </c:pt>
                <c:pt idx="124">
                  <c:v>13539.927735797566</c:v>
                </c:pt>
                <c:pt idx="125">
                  <c:v>13367.803962691702</c:v>
                </c:pt>
                <c:pt idx="126">
                  <c:v>12407.466643496795</c:v>
                </c:pt>
                <c:pt idx="127">
                  <c:v>13289.530482161659</c:v>
                </c:pt>
                <c:pt idx="128">
                  <c:v>15560.669963295251</c:v>
                </c:pt>
                <c:pt idx="129">
                  <c:v>15586.391845600185</c:v>
                </c:pt>
                <c:pt idx="130">
                  <c:v>15305.015535593906</c:v>
                </c:pt>
                <c:pt idx="131">
                  <c:v>14144.20733102705</c:v>
                </c:pt>
                <c:pt idx="132">
                  <c:v>13704.335615626303</c:v>
                </c:pt>
                <c:pt idx="133">
                  <c:v>13321.385482567537</c:v>
                </c:pt>
                <c:pt idx="134">
                  <c:v>15377.997271318833</c:v>
                </c:pt>
                <c:pt idx="135">
                  <c:v>17468.988286927022</c:v>
                </c:pt>
                <c:pt idx="136">
                  <c:v>18523.374457537037</c:v>
                </c:pt>
                <c:pt idx="137">
                  <c:v>18461.641649747369</c:v>
                </c:pt>
                <c:pt idx="138">
                  <c:v>17388.320689269312</c:v>
                </c:pt>
                <c:pt idx="139">
                  <c:v>17957.6826301744</c:v>
                </c:pt>
                <c:pt idx="140">
                  <c:v>19204.832152067494</c:v>
                </c:pt>
                <c:pt idx="141">
                  <c:v>18282.090707217139</c:v>
                </c:pt>
                <c:pt idx="142">
                  <c:v>21238.464536026411</c:v>
                </c:pt>
                <c:pt idx="143">
                  <c:v>21073.129665952511</c:v>
                </c:pt>
                <c:pt idx="144">
                  <c:v>20714.057741002631</c:v>
                </c:pt>
                <c:pt idx="145">
                  <c:v>20559.838071943013</c:v>
                </c:pt>
                <c:pt idx="146">
                  <c:v>20890.822393251641</c:v>
                </c:pt>
                <c:pt idx="147">
                  <c:v>17563.632276156626</c:v>
                </c:pt>
                <c:pt idx="148">
                  <c:v>17706.227422322569</c:v>
                </c:pt>
                <c:pt idx="149">
                  <c:v>17831.835185806282</c:v>
                </c:pt>
                <c:pt idx="150">
                  <c:v>17583.750490391394</c:v>
                </c:pt>
                <c:pt idx="151">
                  <c:v>17964.438635103608</c:v>
                </c:pt>
                <c:pt idx="152">
                  <c:v>19480.989471068388</c:v>
                </c:pt>
                <c:pt idx="153">
                  <c:v>19518.005187653747</c:v>
                </c:pt>
                <c:pt idx="154">
                  <c:v>20131.935789014009</c:v>
                </c:pt>
                <c:pt idx="155">
                  <c:v>18367.053846493101</c:v>
                </c:pt>
                <c:pt idx="156">
                  <c:v>19106.927584272096</c:v>
                </c:pt>
                <c:pt idx="157">
                  <c:v>17258.743310843012</c:v>
                </c:pt>
                <c:pt idx="158">
                  <c:v>19326.857351322833</c:v>
                </c:pt>
                <c:pt idx="159">
                  <c:v>21302.329909070308</c:v>
                </c:pt>
                <c:pt idx="160">
                  <c:v>22463.409071996284</c:v>
                </c:pt>
                <c:pt idx="161">
                  <c:v>22956.787268882792</c:v>
                </c:pt>
                <c:pt idx="162">
                  <c:v>23563.614385208333</c:v>
                </c:pt>
                <c:pt idx="163">
                  <c:v>23154.312749433069</c:v>
                </c:pt>
                <c:pt idx="164">
                  <c:v>23478.884567363246</c:v>
                </c:pt>
                <c:pt idx="165">
                  <c:v>22539.428800057154</c:v>
                </c:pt>
                <c:pt idx="166">
                  <c:v>20939.361112008177</c:v>
                </c:pt>
                <c:pt idx="167">
                  <c:v>20080.255922961165</c:v>
                </c:pt>
                <c:pt idx="168">
                  <c:v>17564.370683492612</c:v>
                </c:pt>
                <c:pt idx="169">
                  <c:v>15820.030036046068</c:v>
                </c:pt>
                <c:pt idx="170">
                  <c:v>18278.598045795938</c:v>
                </c:pt>
                <c:pt idx="171">
                  <c:v>16584.751724403832</c:v>
                </c:pt>
                <c:pt idx="172">
                  <c:v>19373.722473300542</c:v>
                </c:pt>
                <c:pt idx="173">
                  <c:v>18652.6722073329</c:v>
                </c:pt>
                <c:pt idx="174">
                  <c:v>19517.559928208837</c:v>
                </c:pt>
                <c:pt idx="175">
                  <c:v>20334.517960577912</c:v>
                </c:pt>
                <c:pt idx="176">
                  <c:v>20700.511094370653</c:v>
                </c:pt>
                <c:pt idx="177">
                  <c:v>24828.464590035379</c:v>
                </c:pt>
                <c:pt idx="178">
                  <c:v>24752.686808912942</c:v>
                </c:pt>
                <c:pt idx="179">
                  <c:v>25111.324755776834</c:v>
                </c:pt>
                <c:pt idx="180">
                  <c:v>25684.190963893285</c:v>
                </c:pt>
                <c:pt idx="181">
                  <c:v>25029.929903782104</c:v>
                </c:pt>
                <c:pt idx="182">
                  <c:v>24725.530565598339</c:v>
                </c:pt>
                <c:pt idx="183">
                  <c:v>26859.07108418578</c:v>
                </c:pt>
                <c:pt idx="184">
                  <c:v>26713.020107642427</c:v>
                </c:pt>
                <c:pt idx="185">
                  <c:v>27283.95285162986</c:v>
                </c:pt>
                <c:pt idx="186">
                  <c:v>28014.321151956741</c:v>
                </c:pt>
                <c:pt idx="187">
                  <c:v>31265.386412868334</c:v>
                </c:pt>
                <c:pt idx="188">
                  <c:v>32079.113285842366</c:v>
                </c:pt>
                <c:pt idx="189">
                  <c:v>32927.141651776721</c:v>
                </c:pt>
                <c:pt idx="190">
                  <c:v>33635.107971508929</c:v>
                </c:pt>
                <c:pt idx="191">
                  <c:v>33987.469488143586</c:v>
                </c:pt>
                <c:pt idx="192">
                  <c:v>35379.444279390911</c:v>
                </c:pt>
                <c:pt idx="193">
                  <c:v>34734.324678742574</c:v>
                </c:pt>
                <c:pt idx="194">
                  <c:v>34246.57887102144</c:v>
                </c:pt>
                <c:pt idx="195">
                  <c:v>34348.412718921158</c:v>
                </c:pt>
                <c:pt idx="196">
                  <c:v>34317.312153943887</c:v>
                </c:pt>
                <c:pt idx="197">
                  <c:v>33833.502807185389</c:v>
                </c:pt>
                <c:pt idx="198">
                  <c:v>33796.425003807322</c:v>
                </c:pt>
                <c:pt idx="199">
                  <c:v>34156.324148277054</c:v>
                </c:pt>
                <c:pt idx="200">
                  <c:v>34451.399432591599</c:v>
                </c:pt>
                <c:pt idx="201">
                  <c:v>34864.790917979131</c:v>
                </c:pt>
                <c:pt idx="202">
                  <c:v>34870.768156379927</c:v>
                </c:pt>
                <c:pt idx="203">
                  <c:v>33849.054666781783</c:v>
                </c:pt>
                <c:pt idx="204">
                  <c:v>32907.182257405453</c:v>
                </c:pt>
                <c:pt idx="205">
                  <c:v>32917.827734768362</c:v>
                </c:pt>
                <c:pt idx="206">
                  <c:v>32862.234686317621</c:v>
                </c:pt>
                <c:pt idx="207">
                  <c:v>32891.805456770133</c:v>
                </c:pt>
                <c:pt idx="208">
                  <c:v>32904.816595769269</c:v>
                </c:pt>
                <c:pt idx="209">
                  <c:v>32937.935858676094</c:v>
                </c:pt>
                <c:pt idx="210">
                  <c:v>32994.711737944934</c:v>
                </c:pt>
                <c:pt idx="211">
                  <c:v>32865.664895690119</c:v>
                </c:pt>
                <c:pt idx="212">
                  <c:v>32701.465703874492</c:v>
                </c:pt>
                <c:pt idx="213">
                  <c:v>32693.674610541624</c:v>
                </c:pt>
                <c:pt idx="214">
                  <c:v>32657.011599811463</c:v>
                </c:pt>
                <c:pt idx="215">
                  <c:v>32256.238916757342</c:v>
                </c:pt>
                <c:pt idx="216">
                  <c:v>31779.92555868061</c:v>
                </c:pt>
                <c:pt idx="217">
                  <c:v>32393.75008566078</c:v>
                </c:pt>
                <c:pt idx="218">
                  <c:v>31684.934290688121</c:v>
                </c:pt>
                <c:pt idx="219">
                  <c:v>31611.041940334879</c:v>
                </c:pt>
                <c:pt idx="220">
                  <c:v>32094.140388982501</c:v>
                </c:pt>
                <c:pt idx="221">
                  <c:v>33082.956064204875</c:v>
                </c:pt>
                <c:pt idx="222">
                  <c:v>32120.830221252152</c:v>
                </c:pt>
                <c:pt idx="223">
                  <c:v>31793.782465853612</c:v>
                </c:pt>
                <c:pt idx="224">
                  <c:v>32224.10845979907</c:v>
                </c:pt>
                <c:pt idx="225">
                  <c:v>33087.629287649601</c:v>
                </c:pt>
                <c:pt idx="226">
                  <c:v>33846.78197710072</c:v>
                </c:pt>
                <c:pt idx="227">
                  <c:v>34318.778740758382</c:v>
                </c:pt>
                <c:pt idx="228">
                  <c:v>33409.73234224203</c:v>
                </c:pt>
                <c:pt idx="229">
                  <c:v>33917.939383932258</c:v>
                </c:pt>
                <c:pt idx="230">
                  <c:v>33512.047430171369</c:v>
                </c:pt>
                <c:pt idx="231">
                  <c:v>31893.11116231799</c:v>
                </c:pt>
                <c:pt idx="232">
                  <c:v>31957.531773236493</c:v>
                </c:pt>
                <c:pt idx="233">
                  <c:v>32827.841595252845</c:v>
                </c:pt>
                <c:pt idx="234">
                  <c:v>33723.043878167911</c:v>
                </c:pt>
                <c:pt idx="235">
                  <c:v>33374.835739412447</c:v>
                </c:pt>
                <c:pt idx="236">
                  <c:v>33460.624150310134</c:v>
                </c:pt>
                <c:pt idx="237">
                  <c:v>34556.13456557889</c:v>
                </c:pt>
                <c:pt idx="238">
                  <c:v>34131.368053213751</c:v>
                </c:pt>
                <c:pt idx="239">
                  <c:v>33905.129589076474</c:v>
                </c:pt>
                <c:pt idx="240">
                  <c:v>31890.240717196197</c:v>
                </c:pt>
                <c:pt idx="241">
                  <c:v>30857.743028516008</c:v>
                </c:pt>
                <c:pt idx="242">
                  <c:v>30761.325964940726</c:v>
                </c:pt>
                <c:pt idx="243">
                  <c:v>31402.841072980998</c:v>
                </c:pt>
                <c:pt idx="244">
                  <c:v>31473.445694339272</c:v>
                </c:pt>
                <c:pt idx="245">
                  <c:v>30758.668801771346</c:v>
                </c:pt>
                <c:pt idx="246">
                  <c:v>30625.05145382449</c:v>
                </c:pt>
                <c:pt idx="247">
                  <c:v>31536.933673540421</c:v>
                </c:pt>
                <c:pt idx="248">
                  <c:v>31836.982057007743</c:v>
                </c:pt>
                <c:pt idx="249">
                  <c:v>33142.408362658898</c:v>
                </c:pt>
                <c:pt idx="250">
                  <c:v>34593.219453149941</c:v>
                </c:pt>
                <c:pt idx="251">
                  <c:v>34989.895954867141</c:v>
                </c:pt>
                <c:pt idx="252">
                  <c:v>36909.526286313994</c:v>
                </c:pt>
                <c:pt idx="253">
                  <c:v>36311.284978461073</c:v>
                </c:pt>
                <c:pt idx="254">
                  <c:v>38590.751383065668</c:v>
                </c:pt>
                <c:pt idx="255">
                  <c:v>39664.624898240756</c:v>
                </c:pt>
                <c:pt idx="256">
                  <c:v>41127.583020363323</c:v>
                </c:pt>
                <c:pt idx="257">
                  <c:v>41489.505346203776</c:v>
                </c:pt>
                <c:pt idx="258">
                  <c:v>40662.905126793325</c:v>
                </c:pt>
                <c:pt idx="259">
                  <c:v>39842.390208852841</c:v>
                </c:pt>
                <c:pt idx="260">
                  <c:v>39452.738290517867</c:v>
                </c:pt>
                <c:pt idx="261">
                  <c:v>37939.555434197391</c:v>
                </c:pt>
                <c:pt idx="262">
                  <c:v>38327.315869198326</c:v>
                </c:pt>
                <c:pt idx="263">
                  <c:v>38488.265984302314</c:v>
                </c:pt>
                <c:pt idx="264">
                  <c:v>38804.432060198742</c:v>
                </c:pt>
                <c:pt idx="265">
                  <c:v>37760.239257277703</c:v>
                </c:pt>
                <c:pt idx="266">
                  <c:v>39483.055376649645</c:v>
                </c:pt>
                <c:pt idx="267">
                  <c:v>39501.208027316869</c:v>
                </c:pt>
                <c:pt idx="268">
                  <c:v>41178.246185030759</c:v>
                </c:pt>
                <c:pt idx="269">
                  <c:v>40986.722382294945</c:v>
                </c:pt>
                <c:pt idx="270">
                  <c:v>41772.127491264051</c:v>
                </c:pt>
                <c:pt idx="271">
                  <c:v>42842.333588822134</c:v>
                </c:pt>
                <c:pt idx="272">
                  <c:v>40543.463615943445</c:v>
                </c:pt>
                <c:pt idx="273">
                  <c:v>42970.837587527145</c:v>
                </c:pt>
                <c:pt idx="274">
                  <c:v>43366.524722329574</c:v>
                </c:pt>
                <c:pt idx="275">
                  <c:v>45358.907198374305</c:v>
                </c:pt>
                <c:pt idx="276">
                  <c:v>44567.547323465231</c:v>
                </c:pt>
                <c:pt idx="277">
                  <c:v>44909.832149805647</c:v>
                </c:pt>
                <c:pt idx="278">
                  <c:v>44770.639925322699</c:v>
                </c:pt>
                <c:pt idx="279">
                  <c:v>44618.51333583807</c:v>
                </c:pt>
                <c:pt idx="280">
                  <c:v>48051.094817053177</c:v>
                </c:pt>
                <c:pt idx="281">
                  <c:v>46908.418650980835</c:v>
                </c:pt>
                <c:pt idx="282">
                  <c:v>48718.386329234927</c:v>
                </c:pt>
                <c:pt idx="283">
                  <c:v>45139.96895340053</c:v>
                </c:pt>
                <c:pt idx="284">
                  <c:v>35205.328031459518</c:v>
                </c:pt>
                <c:pt idx="285">
                  <c:v>40474.626870576045</c:v>
                </c:pt>
                <c:pt idx="286">
                  <c:v>42129.959161585983</c:v>
                </c:pt>
                <c:pt idx="287">
                  <c:v>43839.665405563544</c:v>
                </c:pt>
                <c:pt idx="288">
                  <c:v>43889.19577887826</c:v>
                </c:pt>
                <c:pt idx="289">
                  <c:v>44599.778315871896</c:v>
                </c:pt>
                <c:pt idx="290">
                  <c:v>44348.572427593317</c:v>
                </c:pt>
                <c:pt idx="291">
                  <c:v>47033.28970821909</c:v>
                </c:pt>
                <c:pt idx="292">
                  <c:v>46323.440671786317</c:v>
                </c:pt>
                <c:pt idx="293">
                  <c:v>46237.847036719788</c:v>
                </c:pt>
                <c:pt idx="294">
                  <c:v>50562.105197546975</c:v>
                </c:pt>
                <c:pt idx="295">
                  <c:v>52657.313957804843</c:v>
                </c:pt>
                <c:pt idx="296">
                  <c:v>50859.81873531008</c:v>
                </c:pt>
                <c:pt idx="297">
                  <c:v>55189.298058357264</c:v>
                </c:pt>
                <c:pt idx="298">
                  <c:v>57852.98832290541</c:v>
                </c:pt>
                <c:pt idx="299">
                  <c:v>61791.533008381462</c:v>
                </c:pt>
                <c:pt idx="300">
                  <c:v>59512.477588835347</c:v>
                </c:pt>
                <c:pt idx="301">
                  <c:v>55884.079543182714</c:v>
                </c:pt>
                <c:pt idx="302">
                  <c:v>55884.079543182714</c:v>
                </c:pt>
                <c:pt idx="303">
                  <c:v>55884.079543182714</c:v>
                </c:pt>
                <c:pt idx="304">
                  <c:v>55884.079543182714</c:v>
                </c:pt>
                <c:pt idx="305">
                  <c:v>55884.079543182714</c:v>
                </c:pt>
                <c:pt idx="306">
                  <c:v>55884.079543182714</c:v>
                </c:pt>
                <c:pt idx="307">
                  <c:v>55884.079543182714</c:v>
                </c:pt>
                <c:pt idx="308">
                  <c:v>55757.601081257308</c:v>
                </c:pt>
                <c:pt idx="309">
                  <c:v>55220.731337557751</c:v>
                </c:pt>
                <c:pt idx="310">
                  <c:v>55541.669723479397</c:v>
                </c:pt>
                <c:pt idx="311">
                  <c:v>55213.94720175938</c:v>
                </c:pt>
                <c:pt idx="312">
                  <c:v>54563.385757498152</c:v>
                </c:pt>
                <c:pt idx="313">
                  <c:v>55361.347854142077</c:v>
                </c:pt>
                <c:pt idx="314">
                  <c:v>55123.683436923631</c:v>
                </c:pt>
                <c:pt idx="315">
                  <c:v>55123.683436923631</c:v>
                </c:pt>
                <c:pt idx="316">
                  <c:v>55123.683436923631</c:v>
                </c:pt>
                <c:pt idx="317">
                  <c:v>55123.683436923631</c:v>
                </c:pt>
                <c:pt idx="318">
                  <c:v>55127.296388740418</c:v>
                </c:pt>
                <c:pt idx="319">
                  <c:v>55127.296388740477</c:v>
                </c:pt>
                <c:pt idx="320">
                  <c:v>55127.296388740477</c:v>
                </c:pt>
                <c:pt idx="321">
                  <c:v>55127.296388740477</c:v>
                </c:pt>
                <c:pt idx="322">
                  <c:v>55127.296388740477</c:v>
                </c:pt>
                <c:pt idx="323">
                  <c:v>55127.296388740477</c:v>
                </c:pt>
                <c:pt idx="324">
                  <c:v>55127.296388740477</c:v>
                </c:pt>
                <c:pt idx="325">
                  <c:v>55127.296388740477</c:v>
                </c:pt>
                <c:pt idx="326">
                  <c:v>55127.296388740477</c:v>
                </c:pt>
                <c:pt idx="327">
                  <c:v>55127.296388740477</c:v>
                </c:pt>
                <c:pt idx="328">
                  <c:v>55127.296388740477</c:v>
                </c:pt>
                <c:pt idx="329">
                  <c:v>55127.296388740477</c:v>
                </c:pt>
                <c:pt idx="330">
                  <c:v>55127.296388740477</c:v>
                </c:pt>
                <c:pt idx="331">
                  <c:v>55115.556304117199</c:v>
                </c:pt>
                <c:pt idx="332">
                  <c:v>54145.276395755907</c:v>
                </c:pt>
                <c:pt idx="333">
                  <c:v>53687.642819039669</c:v>
                </c:pt>
                <c:pt idx="334">
                  <c:v>55646.024350216205</c:v>
                </c:pt>
                <c:pt idx="335">
                  <c:v>54688.393493529962</c:v>
                </c:pt>
                <c:pt idx="336">
                  <c:v>54875.806781809253</c:v>
                </c:pt>
                <c:pt idx="337">
                  <c:v>55718.852654529939</c:v>
                </c:pt>
                <c:pt idx="338">
                  <c:v>56405.94297685122</c:v>
                </c:pt>
                <c:pt idx="339">
                  <c:v>54504.435188812466</c:v>
                </c:pt>
                <c:pt idx="340">
                  <c:v>55335.796153333824</c:v>
                </c:pt>
                <c:pt idx="341">
                  <c:v>55652.388912920287</c:v>
                </c:pt>
                <c:pt idx="342">
                  <c:v>54762.407052813418</c:v>
                </c:pt>
                <c:pt idx="343">
                  <c:v>55816.154801927041</c:v>
                </c:pt>
                <c:pt idx="344">
                  <c:v>55363.072724423895</c:v>
                </c:pt>
                <c:pt idx="345">
                  <c:v>55749.799851748074</c:v>
                </c:pt>
                <c:pt idx="346">
                  <c:v>58898.598080355383</c:v>
                </c:pt>
                <c:pt idx="347">
                  <c:v>58556.013082497724</c:v>
                </c:pt>
                <c:pt idx="348">
                  <c:v>57482.404940719483</c:v>
                </c:pt>
                <c:pt idx="349">
                  <c:v>59372.185393302439</c:v>
                </c:pt>
                <c:pt idx="350">
                  <c:v>58929.504327063187</c:v>
                </c:pt>
                <c:pt idx="351">
                  <c:v>58822.336556310504</c:v>
                </c:pt>
                <c:pt idx="352">
                  <c:v>59974.595558913948</c:v>
                </c:pt>
                <c:pt idx="353">
                  <c:v>58119.582036061591</c:v>
                </c:pt>
                <c:pt idx="354">
                  <c:v>58726.369126856327</c:v>
                </c:pt>
                <c:pt idx="355">
                  <c:v>59203.37751898673</c:v>
                </c:pt>
                <c:pt idx="356">
                  <c:v>61890.681382645911</c:v>
                </c:pt>
                <c:pt idx="357">
                  <c:v>60736.179991451267</c:v>
                </c:pt>
                <c:pt idx="358">
                  <c:v>59178.657750485581</c:v>
                </c:pt>
                <c:pt idx="359">
                  <c:v>55019.189892727445</c:v>
                </c:pt>
                <c:pt idx="360">
                  <c:v>55216.118645455717</c:v>
                </c:pt>
                <c:pt idx="361">
                  <c:v>57178.133176044299</c:v>
                </c:pt>
                <c:pt idx="362">
                  <c:v>55329.760534456553</c:v>
                </c:pt>
                <c:pt idx="363">
                  <c:v>55011.937946675636</c:v>
                </c:pt>
                <c:pt idx="364">
                  <c:v>55799.631906946801</c:v>
                </c:pt>
                <c:pt idx="365">
                  <c:v>60010.414913879242</c:v>
                </c:pt>
                <c:pt idx="366">
                  <c:v>59078.460906312859</c:v>
                </c:pt>
                <c:pt idx="367">
                  <c:v>58053.778822234715</c:v>
                </c:pt>
                <c:pt idx="368">
                  <c:v>58432.879827887518</c:v>
                </c:pt>
                <c:pt idx="369">
                  <c:v>59789.19372067551</c:v>
                </c:pt>
                <c:pt idx="370">
                  <c:v>57966.368137806159</c:v>
                </c:pt>
                <c:pt idx="371">
                  <c:v>60614.370453486306</c:v>
                </c:pt>
                <c:pt idx="372">
                  <c:v>63210.474517218187</c:v>
                </c:pt>
                <c:pt idx="373">
                  <c:v>64016.134394592227</c:v>
                </c:pt>
                <c:pt idx="374">
                  <c:v>66374.221657442424</c:v>
                </c:pt>
                <c:pt idx="375">
                  <c:v>65490.829378948838</c:v>
                </c:pt>
                <c:pt idx="376">
                  <c:v>70578.4804045372</c:v>
                </c:pt>
                <c:pt idx="377">
                  <c:v>70019.109042224009</c:v>
                </c:pt>
                <c:pt idx="378">
                  <c:v>71697.223129163554</c:v>
                </c:pt>
                <c:pt idx="379">
                  <c:v>78247.287244560139</c:v>
                </c:pt>
                <c:pt idx="380">
                  <c:v>81808.728565556579</c:v>
                </c:pt>
                <c:pt idx="381">
                  <c:v>86895.799136848247</c:v>
                </c:pt>
                <c:pt idx="382">
                  <c:v>86194.275858193694</c:v>
                </c:pt>
                <c:pt idx="383">
                  <c:v>84083.36000721954</c:v>
                </c:pt>
                <c:pt idx="384">
                  <c:v>92915.499071636761</c:v>
                </c:pt>
                <c:pt idx="385">
                  <c:v>89318.843958627607</c:v>
                </c:pt>
                <c:pt idx="386">
                  <c:v>91328.296695369296</c:v>
                </c:pt>
                <c:pt idx="387">
                  <c:v>96085.169612527941</c:v>
                </c:pt>
                <c:pt idx="388">
                  <c:v>107028.7670701184</c:v>
                </c:pt>
                <c:pt idx="389">
                  <c:v>115163.6950014605</c:v>
                </c:pt>
                <c:pt idx="390">
                  <c:v>129171.32366230607</c:v>
                </c:pt>
                <c:pt idx="391">
                  <c:v>138273.18275207322</c:v>
                </c:pt>
                <c:pt idx="392">
                  <c:v>140445.66079202777</c:v>
                </c:pt>
                <c:pt idx="393">
                  <c:v>158527.66565935739</c:v>
                </c:pt>
                <c:pt idx="394">
                  <c:v>152776.41946857848</c:v>
                </c:pt>
                <c:pt idx="395">
                  <c:v>144650.73677274317</c:v>
                </c:pt>
                <c:pt idx="396">
                  <c:v>128447.5721826537</c:v>
                </c:pt>
                <c:pt idx="397">
                  <c:v>256895.14436530741</c:v>
                </c:pt>
                <c:pt idx="398">
                  <c:v>128447.57218265225</c:v>
                </c:pt>
                <c:pt idx="399">
                  <c:v>128447.57218265225</c:v>
                </c:pt>
                <c:pt idx="400">
                  <c:v>128447.57218265225</c:v>
                </c:pt>
                <c:pt idx="401">
                  <c:v>128447.57218265225</c:v>
                </c:pt>
                <c:pt idx="402">
                  <c:v>128447.57218265225</c:v>
                </c:pt>
                <c:pt idx="403">
                  <c:v>128447.57218265225</c:v>
                </c:pt>
                <c:pt idx="404">
                  <c:v>128447.57218265225</c:v>
                </c:pt>
                <c:pt idx="405">
                  <c:v>128447.57218265225</c:v>
                </c:pt>
                <c:pt idx="406">
                  <c:v>128447.57218265225</c:v>
                </c:pt>
                <c:pt idx="407">
                  <c:v>128447.57218265225</c:v>
                </c:pt>
                <c:pt idx="408">
                  <c:v>130952.31367055164</c:v>
                </c:pt>
                <c:pt idx="409">
                  <c:v>126082.17398550623</c:v>
                </c:pt>
                <c:pt idx="410">
                  <c:v>129328.93377553648</c:v>
                </c:pt>
                <c:pt idx="411">
                  <c:v>121861.38625846687</c:v>
                </c:pt>
                <c:pt idx="412">
                  <c:v>113029.05371436436</c:v>
                </c:pt>
                <c:pt idx="413">
                  <c:v>111348.37805834867</c:v>
                </c:pt>
                <c:pt idx="414">
                  <c:v>110666.11974853207</c:v>
                </c:pt>
                <c:pt idx="415">
                  <c:v>109565.68826417107</c:v>
                </c:pt>
                <c:pt idx="416">
                  <c:v>109565.68826417107</c:v>
                </c:pt>
                <c:pt idx="417">
                  <c:v>109565.68826417107</c:v>
                </c:pt>
                <c:pt idx="418">
                  <c:v>109565.68826417107</c:v>
                </c:pt>
                <c:pt idx="419">
                  <c:v>109565.68826417107</c:v>
                </c:pt>
                <c:pt idx="420">
                  <c:v>109565.68826417107</c:v>
                </c:pt>
                <c:pt idx="421">
                  <c:v>109565.68826417107</c:v>
                </c:pt>
                <c:pt idx="422">
                  <c:v>109565.68826417107</c:v>
                </c:pt>
                <c:pt idx="423">
                  <c:v>109565.68826417107</c:v>
                </c:pt>
                <c:pt idx="424">
                  <c:v>109565.68826417107</c:v>
                </c:pt>
                <c:pt idx="425">
                  <c:v>109565.68826417107</c:v>
                </c:pt>
                <c:pt idx="426">
                  <c:v>109565.68826417107</c:v>
                </c:pt>
                <c:pt idx="427">
                  <c:v>109565.68826417107</c:v>
                </c:pt>
                <c:pt idx="428">
                  <c:v>106799.13081786473</c:v>
                </c:pt>
                <c:pt idx="429">
                  <c:v>107890.7441135713</c:v>
                </c:pt>
                <c:pt idx="430">
                  <c:v>108163.64743749797</c:v>
                </c:pt>
                <c:pt idx="431">
                  <c:v>107201.74906323297</c:v>
                </c:pt>
                <c:pt idx="432">
                  <c:v>104994.94461999933</c:v>
                </c:pt>
                <c:pt idx="433">
                  <c:v>104371.79547716823</c:v>
                </c:pt>
                <c:pt idx="434">
                  <c:v>104371.79547716823</c:v>
                </c:pt>
                <c:pt idx="435">
                  <c:v>103554.36161360343</c:v>
                </c:pt>
                <c:pt idx="436">
                  <c:v>103554.36161360343</c:v>
                </c:pt>
                <c:pt idx="437">
                  <c:v>103554.36161360343</c:v>
                </c:pt>
                <c:pt idx="438">
                  <c:v>103554.36161360343</c:v>
                </c:pt>
                <c:pt idx="439">
                  <c:v>103554.36161360343</c:v>
                </c:pt>
                <c:pt idx="440">
                  <c:v>103554.36161360343</c:v>
                </c:pt>
                <c:pt idx="441">
                  <c:v>103554.36161360343</c:v>
                </c:pt>
                <c:pt idx="442">
                  <c:v>103631.29480316874</c:v>
                </c:pt>
                <c:pt idx="443">
                  <c:v>103631.29480316874</c:v>
                </c:pt>
                <c:pt idx="444">
                  <c:v>103631.29480316874</c:v>
                </c:pt>
                <c:pt idx="445">
                  <c:v>103631.29480316874</c:v>
                </c:pt>
                <c:pt idx="446">
                  <c:v>102929.90836905938</c:v>
                </c:pt>
                <c:pt idx="447">
                  <c:v>103157.2450190176</c:v>
                </c:pt>
                <c:pt idx="448">
                  <c:v>101257.78562813054</c:v>
                </c:pt>
                <c:pt idx="449">
                  <c:v>102593.09615186322</c:v>
                </c:pt>
                <c:pt idx="450">
                  <c:v>103813.33637837449</c:v>
                </c:pt>
                <c:pt idx="451">
                  <c:v>113940.84540319117</c:v>
                </c:pt>
                <c:pt idx="452">
                  <c:v>120923.94128454989</c:v>
                </c:pt>
                <c:pt idx="453">
                  <c:v>121854.65217127226</c:v>
                </c:pt>
                <c:pt idx="454">
                  <c:v>120472.46690028551</c:v>
                </c:pt>
                <c:pt idx="455">
                  <c:v>118488.16619061085</c:v>
                </c:pt>
                <c:pt idx="456">
                  <c:v>119021.96989470726</c:v>
                </c:pt>
                <c:pt idx="457">
                  <c:v>113809.36883495149</c:v>
                </c:pt>
                <c:pt idx="458">
                  <c:v>118311.36272722937</c:v>
                </c:pt>
                <c:pt idx="459">
                  <c:v>116252.66632404487</c:v>
                </c:pt>
                <c:pt idx="460">
                  <c:v>109695.18092015019</c:v>
                </c:pt>
                <c:pt idx="461">
                  <c:v>107572.49466517079</c:v>
                </c:pt>
                <c:pt idx="462">
                  <c:v>107201.33886281436</c:v>
                </c:pt>
                <c:pt idx="463">
                  <c:v>107201.33886281436</c:v>
                </c:pt>
                <c:pt idx="464">
                  <c:v>107201.33886281436</c:v>
                </c:pt>
                <c:pt idx="465">
                  <c:v>107201.33886281436</c:v>
                </c:pt>
                <c:pt idx="466">
                  <c:v>105466.7427872477</c:v>
                </c:pt>
                <c:pt idx="467">
                  <c:v>109860.14940989384</c:v>
                </c:pt>
                <c:pt idx="468">
                  <c:v>110863.48921034741</c:v>
                </c:pt>
                <c:pt idx="469">
                  <c:v>115300.54032968462</c:v>
                </c:pt>
                <c:pt idx="470">
                  <c:v>118578.85235389171</c:v>
                </c:pt>
                <c:pt idx="471">
                  <c:v>120831.60560694558</c:v>
                </c:pt>
                <c:pt idx="472">
                  <c:v>122705.31898800354</c:v>
                </c:pt>
                <c:pt idx="473">
                  <c:v>116997.63857230841</c:v>
                </c:pt>
                <c:pt idx="474">
                  <c:v>112234.3374443099</c:v>
                </c:pt>
                <c:pt idx="475">
                  <c:v>115531.60149790696</c:v>
                </c:pt>
                <c:pt idx="476">
                  <c:v>114511.51563797018</c:v>
                </c:pt>
                <c:pt idx="477">
                  <c:v>114467.36328960216</c:v>
                </c:pt>
                <c:pt idx="478">
                  <c:v>114335.18740332022</c:v>
                </c:pt>
                <c:pt idx="479">
                  <c:v>110663.84466083301</c:v>
                </c:pt>
                <c:pt idx="480">
                  <c:v>116328.67426276836</c:v>
                </c:pt>
                <c:pt idx="481">
                  <c:v>117686.24234624038</c:v>
                </c:pt>
                <c:pt idx="482">
                  <c:v>120327.83361328254</c:v>
                </c:pt>
                <c:pt idx="483">
                  <c:v>115976.71548387897</c:v>
                </c:pt>
                <c:pt idx="484">
                  <c:v>110834.90377088997</c:v>
                </c:pt>
                <c:pt idx="485">
                  <c:v>105717.46332113701</c:v>
                </c:pt>
                <c:pt idx="486">
                  <c:v>105452.17435249925</c:v>
                </c:pt>
                <c:pt idx="487">
                  <c:v>104740.8779376325</c:v>
                </c:pt>
                <c:pt idx="488">
                  <c:v>105055.77581844589</c:v>
                </c:pt>
                <c:pt idx="489">
                  <c:v>105609.09638044675</c:v>
                </c:pt>
                <c:pt idx="490">
                  <c:v>104720.81706766802</c:v>
                </c:pt>
                <c:pt idx="491">
                  <c:v>105100.34910020564</c:v>
                </c:pt>
                <c:pt idx="492">
                  <c:v>104195.35804228007</c:v>
                </c:pt>
                <c:pt idx="493">
                  <c:v>105388.85560270015</c:v>
                </c:pt>
                <c:pt idx="494">
                  <c:v>98177.827419919893</c:v>
                </c:pt>
                <c:pt idx="495">
                  <c:v>98094.186547358462</c:v>
                </c:pt>
                <c:pt idx="496">
                  <c:v>93934.05729681754</c:v>
                </c:pt>
                <c:pt idx="497">
                  <c:v>98201.413827663288</c:v>
                </c:pt>
                <c:pt idx="498">
                  <c:v>98523.668984975666</c:v>
                </c:pt>
                <c:pt idx="499">
                  <c:v>95419.001531586924</c:v>
                </c:pt>
                <c:pt idx="500">
                  <c:v>99180.564645184262</c:v>
                </c:pt>
                <c:pt idx="501">
                  <c:v>98943.358836240426</c:v>
                </c:pt>
                <c:pt idx="502">
                  <c:v>108434.91129492247</c:v>
                </c:pt>
                <c:pt idx="503">
                  <c:v>97512.63493016985</c:v>
                </c:pt>
                <c:pt idx="504">
                  <c:v>105277.90604429034</c:v>
                </c:pt>
                <c:pt idx="505">
                  <c:v>103414.95291607006</c:v>
                </c:pt>
                <c:pt idx="506">
                  <c:v>108014.25108426192</c:v>
                </c:pt>
                <c:pt idx="507">
                  <c:v>106304.75849749777</c:v>
                </c:pt>
                <c:pt idx="508">
                  <c:v>102129.25238775113</c:v>
                </c:pt>
                <c:pt idx="509">
                  <c:v>111385.19747783412</c:v>
                </c:pt>
                <c:pt idx="510">
                  <c:v>123545.54632508516</c:v>
                </c:pt>
                <c:pt idx="5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99-471D-A296-A672EBE31A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7210736"/>
        <c:axId val="1067210408"/>
      </c:lineChart>
      <c:catAx>
        <c:axId val="1067210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67210408"/>
        <c:crosses val="autoZero"/>
        <c:auto val="1"/>
        <c:lblAlgn val="ctr"/>
        <c:lblOffset val="100"/>
        <c:noMultiLvlLbl val="0"/>
      </c:catAx>
      <c:valAx>
        <c:axId val="1067210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67210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净值记录!$F$1</c:f>
              <c:strCache>
                <c:ptCount val="1"/>
                <c:pt idx="0">
                  <c:v>盈亏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净值记录!$A$2:$A$464</c:f>
              <c:numCache>
                <c:formatCode>m/d/yyyy</c:formatCode>
                <c:ptCount val="463"/>
                <c:pt idx="0">
                  <c:v>43431</c:v>
                </c:pt>
                <c:pt idx="1">
                  <c:v>43432</c:v>
                </c:pt>
                <c:pt idx="2">
                  <c:v>43433</c:v>
                </c:pt>
                <c:pt idx="3">
                  <c:v>43434</c:v>
                </c:pt>
                <c:pt idx="4">
                  <c:v>43437</c:v>
                </c:pt>
                <c:pt idx="5">
                  <c:v>43438</c:v>
                </c:pt>
                <c:pt idx="6">
                  <c:v>43439</c:v>
                </c:pt>
                <c:pt idx="7">
                  <c:v>43440</c:v>
                </c:pt>
                <c:pt idx="8">
                  <c:v>43441</c:v>
                </c:pt>
                <c:pt idx="9">
                  <c:v>43444</c:v>
                </c:pt>
                <c:pt idx="10">
                  <c:v>43445</c:v>
                </c:pt>
                <c:pt idx="11">
                  <c:v>43446</c:v>
                </c:pt>
                <c:pt idx="12">
                  <c:v>43447</c:v>
                </c:pt>
                <c:pt idx="13">
                  <c:v>43448</c:v>
                </c:pt>
                <c:pt idx="14">
                  <c:v>43451</c:v>
                </c:pt>
                <c:pt idx="15">
                  <c:v>43452</c:v>
                </c:pt>
                <c:pt idx="16">
                  <c:v>43453</c:v>
                </c:pt>
                <c:pt idx="17">
                  <c:v>43454</c:v>
                </c:pt>
                <c:pt idx="18">
                  <c:v>43455</c:v>
                </c:pt>
                <c:pt idx="19">
                  <c:v>43458</c:v>
                </c:pt>
                <c:pt idx="20">
                  <c:v>43459</c:v>
                </c:pt>
                <c:pt idx="21">
                  <c:v>43460</c:v>
                </c:pt>
                <c:pt idx="22">
                  <c:v>43461</c:v>
                </c:pt>
                <c:pt idx="23">
                  <c:v>43462</c:v>
                </c:pt>
                <c:pt idx="24">
                  <c:v>43467</c:v>
                </c:pt>
                <c:pt idx="25">
                  <c:v>43468</c:v>
                </c:pt>
                <c:pt idx="26">
                  <c:v>43469</c:v>
                </c:pt>
                <c:pt idx="27">
                  <c:v>43472</c:v>
                </c:pt>
                <c:pt idx="28">
                  <c:v>43473</c:v>
                </c:pt>
                <c:pt idx="29">
                  <c:v>43474</c:v>
                </c:pt>
                <c:pt idx="30">
                  <c:v>43475</c:v>
                </c:pt>
                <c:pt idx="31">
                  <c:v>43476</c:v>
                </c:pt>
                <c:pt idx="32">
                  <c:v>43479</c:v>
                </c:pt>
                <c:pt idx="33">
                  <c:v>43480</c:v>
                </c:pt>
                <c:pt idx="34">
                  <c:v>43481</c:v>
                </c:pt>
                <c:pt idx="35">
                  <c:v>43482</c:v>
                </c:pt>
                <c:pt idx="36">
                  <c:v>43483</c:v>
                </c:pt>
                <c:pt idx="37">
                  <c:v>43486</c:v>
                </c:pt>
                <c:pt idx="38">
                  <c:v>43487</c:v>
                </c:pt>
                <c:pt idx="39">
                  <c:v>43488</c:v>
                </c:pt>
                <c:pt idx="40">
                  <c:v>43489</c:v>
                </c:pt>
                <c:pt idx="41">
                  <c:v>43490</c:v>
                </c:pt>
                <c:pt idx="42">
                  <c:v>43493</c:v>
                </c:pt>
                <c:pt idx="43">
                  <c:v>43494</c:v>
                </c:pt>
                <c:pt idx="44">
                  <c:v>43495</c:v>
                </c:pt>
                <c:pt idx="45">
                  <c:v>43496</c:v>
                </c:pt>
                <c:pt idx="46">
                  <c:v>43497</c:v>
                </c:pt>
                <c:pt idx="47">
                  <c:v>43507</c:v>
                </c:pt>
                <c:pt idx="48">
                  <c:v>43508</c:v>
                </c:pt>
                <c:pt idx="49">
                  <c:v>43509</c:v>
                </c:pt>
                <c:pt idx="50">
                  <c:v>43510</c:v>
                </c:pt>
                <c:pt idx="51">
                  <c:v>43511</c:v>
                </c:pt>
                <c:pt idx="52">
                  <c:v>43514</c:v>
                </c:pt>
                <c:pt idx="53">
                  <c:v>43515</c:v>
                </c:pt>
                <c:pt idx="54">
                  <c:v>43516</c:v>
                </c:pt>
                <c:pt idx="55">
                  <c:v>43517</c:v>
                </c:pt>
                <c:pt idx="56">
                  <c:v>43518</c:v>
                </c:pt>
                <c:pt idx="57">
                  <c:v>43521</c:v>
                </c:pt>
                <c:pt idx="58">
                  <c:v>43522</c:v>
                </c:pt>
                <c:pt idx="59">
                  <c:v>43523</c:v>
                </c:pt>
                <c:pt idx="60">
                  <c:v>43524</c:v>
                </c:pt>
                <c:pt idx="61">
                  <c:v>43525</c:v>
                </c:pt>
                <c:pt idx="62">
                  <c:v>43528</c:v>
                </c:pt>
                <c:pt idx="63">
                  <c:v>43529</c:v>
                </c:pt>
                <c:pt idx="64">
                  <c:v>43530</c:v>
                </c:pt>
                <c:pt idx="65">
                  <c:v>43531</c:v>
                </c:pt>
                <c:pt idx="66">
                  <c:v>43532</c:v>
                </c:pt>
                <c:pt idx="67">
                  <c:v>43535</c:v>
                </c:pt>
                <c:pt idx="68">
                  <c:v>43536</c:v>
                </c:pt>
                <c:pt idx="69">
                  <c:v>43537</c:v>
                </c:pt>
                <c:pt idx="70">
                  <c:v>43538</c:v>
                </c:pt>
                <c:pt idx="71">
                  <c:v>43539</c:v>
                </c:pt>
                <c:pt idx="72">
                  <c:v>43542</c:v>
                </c:pt>
                <c:pt idx="73">
                  <c:v>43543</c:v>
                </c:pt>
                <c:pt idx="74">
                  <c:v>43544</c:v>
                </c:pt>
                <c:pt idx="75">
                  <c:v>43545</c:v>
                </c:pt>
                <c:pt idx="76">
                  <c:v>43546</c:v>
                </c:pt>
                <c:pt idx="77">
                  <c:v>43549</c:v>
                </c:pt>
                <c:pt idx="78">
                  <c:v>43550</c:v>
                </c:pt>
                <c:pt idx="79">
                  <c:v>43551</c:v>
                </c:pt>
                <c:pt idx="80">
                  <c:v>43552</c:v>
                </c:pt>
                <c:pt idx="81">
                  <c:v>43553</c:v>
                </c:pt>
                <c:pt idx="82">
                  <c:v>43556</c:v>
                </c:pt>
                <c:pt idx="83">
                  <c:v>43557</c:v>
                </c:pt>
                <c:pt idx="84">
                  <c:v>43558</c:v>
                </c:pt>
                <c:pt idx="85">
                  <c:v>43559</c:v>
                </c:pt>
                <c:pt idx="86">
                  <c:v>43563</c:v>
                </c:pt>
                <c:pt idx="87">
                  <c:v>43564</c:v>
                </c:pt>
                <c:pt idx="88">
                  <c:v>43565</c:v>
                </c:pt>
                <c:pt idx="89">
                  <c:v>43566</c:v>
                </c:pt>
                <c:pt idx="90">
                  <c:v>43567</c:v>
                </c:pt>
                <c:pt idx="91">
                  <c:v>43570</c:v>
                </c:pt>
                <c:pt idx="92">
                  <c:v>43571</c:v>
                </c:pt>
                <c:pt idx="93">
                  <c:v>43572</c:v>
                </c:pt>
                <c:pt idx="94">
                  <c:v>43573</c:v>
                </c:pt>
                <c:pt idx="95">
                  <c:v>43574</c:v>
                </c:pt>
                <c:pt idx="96">
                  <c:v>43577</c:v>
                </c:pt>
                <c:pt idx="97">
                  <c:v>43578</c:v>
                </c:pt>
                <c:pt idx="98">
                  <c:v>43579</c:v>
                </c:pt>
                <c:pt idx="99">
                  <c:v>43580</c:v>
                </c:pt>
                <c:pt idx="100">
                  <c:v>43581</c:v>
                </c:pt>
                <c:pt idx="101">
                  <c:v>43584</c:v>
                </c:pt>
                <c:pt idx="102">
                  <c:v>43585</c:v>
                </c:pt>
                <c:pt idx="103">
                  <c:v>43591</c:v>
                </c:pt>
                <c:pt idx="104">
                  <c:v>43592</c:v>
                </c:pt>
                <c:pt idx="105">
                  <c:v>43593</c:v>
                </c:pt>
                <c:pt idx="106">
                  <c:v>43594</c:v>
                </c:pt>
                <c:pt idx="107">
                  <c:v>43595</c:v>
                </c:pt>
                <c:pt idx="108">
                  <c:v>43598</c:v>
                </c:pt>
                <c:pt idx="109">
                  <c:v>43599</c:v>
                </c:pt>
                <c:pt idx="110">
                  <c:v>43600</c:v>
                </c:pt>
                <c:pt idx="111">
                  <c:v>43601</c:v>
                </c:pt>
                <c:pt idx="112">
                  <c:v>43602</c:v>
                </c:pt>
                <c:pt idx="113">
                  <c:v>43605</c:v>
                </c:pt>
                <c:pt idx="114">
                  <c:v>43606</c:v>
                </c:pt>
                <c:pt idx="115">
                  <c:v>43607</c:v>
                </c:pt>
                <c:pt idx="116">
                  <c:v>43608</c:v>
                </c:pt>
                <c:pt idx="117">
                  <c:v>43609</c:v>
                </c:pt>
                <c:pt idx="118">
                  <c:v>43612</c:v>
                </c:pt>
                <c:pt idx="119">
                  <c:v>43613</c:v>
                </c:pt>
                <c:pt idx="120">
                  <c:v>43614</c:v>
                </c:pt>
                <c:pt idx="121">
                  <c:v>43615</c:v>
                </c:pt>
                <c:pt idx="122">
                  <c:v>43616</c:v>
                </c:pt>
                <c:pt idx="123">
                  <c:v>43619</c:v>
                </c:pt>
                <c:pt idx="124">
                  <c:v>43620</c:v>
                </c:pt>
                <c:pt idx="125">
                  <c:v>43621</c:v>
                </c:pt>
                <c:pt idx="126">
                  <c:v>43622</c:v>
                </c:pt>
                <c:pt idx="127">
                  <c:v>43626</c:v>
                </c:pt>
                <c:pt idx="128">
                  <c:v>43627</c:v>
                </c:pt>
                <c:pt idx="129">
                  <c:v>43628</c:v>
                </c:pt>
                <c:pt idx="130">
                  <c:v>43629</c:v>
                </c:pt>
                <c:pt idx="131">
                  <c:v>43630</c:v>
                </c:pt>
                <c:pt idx="132">
                  <c:v>43633</c:v>
                </c:pt>
                <c:pt idx="133">
                  <c:v>43634</c:v>
                </c:pt>
                <c:pt idx="134">
                  <c:v>43635</c:v>
                </c:pt>
                <c:pt idx="135">
                  <c:v>43636</c:v>
                </c:pt>
                <c:pt idx="136">
                  <c:v>43637</c:v>
                </c:pt>
                <c:pt idx="137">
                  <c:v>43640</c:v>
                </c:pt>
                <c:pt idx="138">
                  <c:v>43641</c:v>
                </c:pt>
                <c:pt idx="139">
                  <c:v>43642</c:v>
                </c:pt>
                <c:pt idx="140">
                  <c:v>43643</c:v>
                </c:pt>
                <c:pt idx="141">
                  <c:v>43644</c:v>
                </c:pt>
                <c:pt idx="142">
                  <c:v>43647</c:v>
                </c:pt>
                <c:pt idx="143">
                  <c:v>43648</c:v>
                </c:pt>
                <c:pt idx="144">
                  <c:v>43649</c:v>
                </c:pt>
                <c:pt idx="145">
                  <c:v>43650</c:v>
                </c:pt>
                <c:pt idx="146">
                  <c:v>43651</c:v>
                </c:pt>
                <c:pt idx="147">
                  <c:v>43654</c:v>
                </c:pt>
                <c:pt idx="148">
                  <c:v>43655</c:v>
                </c:pt>
                <c:pt idx="149">
                  <c:v>43656</c:v>
                </c:pt>
                <c:pt idx="150">
                  <c:v>43657</c:v>
                </c:pt>
                <c:pt idx="151">
                  <c:v>43658</c:v>
                </c:pt>
                <c:pt idx="152">
                  <c:v>43661</c:v>
                </c:pt>
                <c:pt idx="153">
                  <c:v>43662</c:v>
                </c:pt>
                <c:pt idx="154">
                  <c:v>43663</c:v>
                </c:pt>
                <c:pt idx="155">
                  <c:v>43664</c:v>
                </c:pt>
                <c:pt idx="156">
                  <c:v>43665</c:v>
                </c:pt>
                <c:pt idx="157">
                  <c:v>43668</c:v>
                </c:pt>
                <c:pt idx="158">
                  <c:v>43669</c:v>
                </c:pt>
                <c:pt idx="159">
                  <c:v>43670</c:v>
                </c:pt>
                <c:pt idx="160">
                  <c:v>43671</c:v>
                </c:pt>
                <c:pt idx="161">
                  <c:v>43672</c:v>
                </c:pt>
                <c:pt idx="162">
                  <c:v>43675</c:v>
                </c:pt>
                <c:pt idx="163">
                  <c:v>43676</c:v>
                </c:pt>
                <c:pt idx="164">
                  <c:v>43677</c:v>
                </c:pt>
                <c:pt idx="165">
                  <c:v>43678</c:v>
                </c:pt>
                <c:pt idx="166">
                  <c:v>43679</c:v>
                </c:pt>
                <c:pt idx="167">
                  <c:v>43682</c:v>
                </c:pt>
                <c:pt idx="168">
                  <c:v>43683</c:v>
                </c:pt>
                <c:pt idx="169">
                  <c:v>43684</c:v>
                </c:pt>
                <c:pt idx="170">
                  <c:v>43685</c:v>
                </c:pt>
                <c:pt idx="171">
                  <c:v>43686</c:v>
                </c:pt>
                <c:pt idx="172">
                  <c:v>43689</c:v>
                </c:pt>
                <c:pt idx="173">
                  <c:v>43690</c:v>
                </c:pt>
                <c:pt idx="174">
                  <c:v>43691</c:v>
                </c:pt>
                <c:pt idx="175">
                  <c:v>43692</c:v>
                </c:pt>
                <c:pt idx="176">
                  <c:v>43693</c:v>
                </c:pt>
                <c:pt idx="177">
                  <c:v>43696</c:v>
                </c:pt>
                <c:pt idx="178">
                  <c:v>43697</c:v>
                </c:pt>
                <c:pt idx="179">
                  <c:v>43698</c:v>
                </c:pt>
                <c:pt idx="180">
                  <c:v>43699</c:v>
                </c:pt>
                <c:pt idx="181">
                  <c:v>43700</c:v>
                </c:pt>
                <c:pt idx="182">
                  <c:v>43703</c:v>
                </c:pt>
                <c:pt idx="183">
                  <c:v>43704</c:v>
                </c:pt>
                <c:pt idx="184">
                  <c:v>43705</c:v>
                </c:pt>
                <c:pt idx="185">
                  <c:v>43706</c:v>
                </c:pt>
                <c:pt idx="186">
                  <c:v>43707</c:v>
                </c:pt>
                <c:pt idx="187">
                  <c:v>43710</c:v>
                </c:pt>
                <c:pt idx="188">
                  <c:v>43711</c:v>
                </c:pt>
                <c:pt idx="189">
                  <c:v>43712</c:v>
                </c:pt>
                <c:pt idx="190">
                  <c:v>43713</c:v>
                </c:pt>
                <c:pt idx="191">
                  <c:v>43714</c:v>
                </c:pt>
                <c:pt idx="192">
                  <c:v>43717</c:v>
                </c:pt>
                <c:pt idx="193">
                  <c:v>43718</c:v>
                </c:pt>
                <c:pt idx="194">
                  <c:v>43719</c:v>
                </c:pt>
                <c:pt idx="195">
                  <c:v>43720</c:v>
                </c:pt>
                <c:pt idx="196">
                  <c:v>43724</c:v>
                </c:pt>
                <c:pt idx="197">
                  <c:v>43725</c:v>
                </c:pt>
                <c:pt idx="198">
                  <c:v>43726</c:v>
                </c:pt>
                <c:pt idx="199">
                  <c:v>43727</c:v>
                </c:pt>
                <c:pt idx="200">
                  <c:v>43728</c:v>
                </c:pt>
                <c:pt idx="201">
                  <c:v>43731</c:v>
                </c:pt>
                <c:pt idx="202">
                  <c:v>43732</c:v>
                </c:pt>
                <c:pt idx="203">
                  <c:v>43733</c:v>
                </c:pt>
                <c:pt idx="204">
                  <c:v>43734</c:v>
                </c:pt>
                <c:pt idx="205">
                  <c:v>43735</c:v>
                </c:pt>
                <c:pt idx="206">
                  <c:v>43738</c:v>
                </c:pt>
                <c:pt idx="207">
                  <c:v>43746</c:v>
                </c:pt>
                <c:pt idx="208">
                  <c:v>43747</c:v>
                </c:pt>
                <c:pt idx="209">
                  <c:v>43748</c:v>
                </c:pt>
                <c:pt idx="210">
                  <c:v>43749</c:v>
                </c:pt>
                <c:pt idx="211">
                  <c:v>43752</c:v>
                </c:pt>
                <c:pt idx="212">
                  <c:v>43753</c:v>
                </c:pt>
                <c:pt idx="213">
                  <c:v>43754</c:v>
                </c:pt>
                <c:pt idx="214">
                  <c:v>43755</c:v>
                </c:pt>
                <c:pt idx="215">
                  <c:v>43756</c:v>
                </c:pt>
                <c:pt idx="216">
                  <c:v>43759</c:v>
                </c:pt>
                <c:pt idx="217">
                  <c:v>43760</c:v>
                </c:pt>
                <c:pt idx="218">
                  <c:v>43761</c:v>
                </c:pt>
                <c:pt idx="219">
                  <c:v>43762</c:v>
                </c:pt>
                <c:pt idx="220">
                  <c:v>43763</c:v>
                </c:pt>
                <c:pt idx="221">
                  <c:v>43766</c:v>
                </c:pt>
                <c:pt idx="222">
                  <c:v>43767</c:v>
                </c:pt>
                <c:pt idx="223">
                  <c:v>43768</c:v>
                </c:pt>
                <c:pt idx="224">
                  <c:v>43769</c:v>
                </c:pt>
                <c:pt idx="225">
                  <c:v>43770</c:v>
                </c:pt>
                <c:pt idx="226">
                  <c:v>43773</c:v>
                </c:pt>
                <c:pt idx="227">
                  <c:v>43774</c:v>
                </c:pt>
                <c:pt idx="228">
                  <c:v>43775</c:v>
                </c:pt>
                <c:pt idx="229">
                  <c:v>43776</c:v>
                </c:pt>
                <c:pt idx="230">
                  <c:v>43777</c:v>
                </c:pt>
                <c:pt idx="231">
                  <c:v>43780</c:v>
                </c:pt>
                <c:pt idx="232">
                  <c:v>43781</c:v>
                </c:pt>
                <c:pt idx="233">
                  <c:v>43782</c:v>
                </c:pt>
                <c:pt idx="234">
                  <c:v>43783</c:v>
                </c:pt>
                <c:pt idx="235">
                  <c:v>43784</c:v>
                </c:pt>
                <c:pt idx="236">
                  <c:v>43787</c:v>
                </c:pt>
                <c:pt idx="237">
                  <c:v>43788</c:v>
                </c:pt>
                <c:pt idx="238">
                  <c:v>43789</c:v>
                </c:pt>
                <c:pt idx="239">
                  <c:v>43790</c:v>
                </c:pt>
                <c:pt idx="240">
                  <c:v>43791</c:v>
                </c:pt>
                <c:pt idx="241">
                  <c:v>43794</c:v>
                </c:pt>
                <c:pt idx="242">
                  <c:v>43795</c:v>
                </c:pt>
                <c:pt idx="243">
                  <c:v>43796</c:v>
                </c:pt>
                <c:pt idx="244">
                  <c:v>43797</c:v>
                </c:pt>
                <c:pt idx="245">
                  <c:v>43798</c:v>
                </c:pt>
                <c:pt idx="246">
                  <c:v>43801</c:v>
                </c:pt>
                <c:pt idx="247">
                  <c:v>43802</c:v>
                </c:pt>
                <c:pt idx="248">
                  <c:v>43803</c:v>
                </c:pt>
                <c:pt idx="249">
                  <c:v>43804</c:v>
                </c:pt>
                <c:pt idx="250">
                  <c:v>43805</c:v>
                </c:pt>
                <c:pt idx="251">
                  <c:v>43808</c:v>
                </c:pt>
                <c:pt idx="252">
                  <c:v>43809</c:v>
                </c:pt>
                <c:pt idx="253">
                  <c:v>43810</c:v>
                </c:pt>
                <c:pt idx="254">
                  <c:v>43811</c:v>
                </c:pt>
                <c:pt idx="255">
                  <c:v>43812</c:v>
                </c:pt>
                <c:pt idx="256">
                  <c:v>43815</c:v>
                </c:pt>
                <c:pt idx="257">
                  <c:v>43816</c:v>
                </c:pt>
                <c:pt idx="258">
                  <c:v>43817</c:v>
                </c:pt>
                <c:pt idx="259">
                  <c:v>43818</c:v>
                </c:pt>
                <c:pt idx="260">
                  <c:v>43819</c:v>
                </c:pt>
                <c:pt idx="261">
                  <c:v>43822</c:v>
                </c:pt>
                <c:pt idx="262">
                  <c:v>43823</c:v>
                </c:pt>
                <c:pt idx="263">
                  <c:v>43824</c:v>
                </c:pt>
                <c:pt idx="264">
                  <c:v>43825</c:v>
                </c:pt>
                <c:pt idx="265">
                  <c:v>43826</c:v>
                </c:pt>
                <c:pt idx="266">
                  <c:v>43829</c:v>
                </c:pt>
                <c:pt idx="267">
                  <c:v>43830</c:v>
                </c:pt>
                <c:pt idx="268">
                  <c:v>43832</c:v>
                </c:pt>
                <c:pt idx="269">
                  <c:v>43833</c:v>
                </c:pt>
                <c:pt idx="270">
                  <c:v>43836</c:v>
                </c:pt>
                <c:pt idx="271">
                  <c:v>43837</c:v>
                </c:pt>
                <c:pt idx="272">
                  <c:v>43838</c:v>
                </c:pt>
                <c:pt idx="273">
                  <c:v>43839</c:v>
                </c:pt>
                <c:pt idx="274">
                  <c:v>43840</c:v>
                </c:pt>
                <c:pt idx="275">
                  <c:v>43843</c:v>
                </c:pt>
                <c:pt idx="276">
                  <c:v>43844</c:v>
                </c:pt>
                <c:pt idx="277">
                  <c:v>43845</c:v>
                </c:pt>
                <c:pt idx="278">
                  <c:v>43846</c:v>
                </c:pt>
                <c:pt idx="279">
                  <c:v>43847</c:v>
                </c:pt>
                <c:pt idx="280">
                  <c:v>43850</c:v>
                </c:pt>
                <c:pt idx="281">
                  <c:v>43851</c:v>
                </c:pt>
                <c:pt idx="282">
                  <c:v>43852</c:v>
                </c:pt>
                <c:pt idx="283">
                  <c:v>43853</c:v>
                </c:pt>
                <c:pt idx="284">
                  <c:v>43864</c:v>
                </c:pt>
                <c:pt idx="285">
                  <c:v>43865</c:v>
                </c:pt>
                <c:pt idx="286">
                  <c:v>43866</c:v>
                </c:pt>
                <c:pt idx="287">
                  <c:v>43867</c:v>
                </c:pt>
                <c:pt idx="288">
                  <c:v>43868</c:v>
                </c:pt>
                <c:pt idx="289">
                  <c:v>43871</c:v>
                </c:pt>
                <c:pt idx="290">
                  <c:v>43872</c:v>
                </c:pt>
                <c:pt idx="291">
                  <c:v>43873</c:v>
                </c:pt>
                <c:pt idx="292">
                  <c:v>43874</c:v>
                </c:pt>
                <c:pt idx="293">
                  <c:v>43875</c:v>
                </c:pt>
                <c:pt idx="294">
                  <c:v>43878</c:v>
                </c:pt>
                <c:pt idx="295">
                  <c:v>43879</c:v>
                </c:pt>
                <c:pt idx="296">
                  <c:v>43880</c:v>
                </c:pt>
                <c:pt idx="297">
                  <c:v>43881</c:v>
                </c:pt>
                <c:pt idx="298">
                  <c:v>43882</c:v>
                </c:pt>
                <c:pt idx="299">
                  <c:v>43885</c:v>
                </c:pt>
                <c:pt idx="300">
                  <c:v>43886</c:v>
                </c:pt>
                <c:pt idx="301">
                  <c:v>43887</c:v>
                </c:pt>
                <c:pt idx="302">
                  <c:v>43888</c:v>
                </c:pt>
                <c:pt idx="303">
                  <c:v>43889</c:v>
                </c:pt>
                <c:pt idx="304">
                  <c:v>43892</c:v>
                </c:pt>
                <c:pt idx="305">
                  <c:v>43893</c:v>
                </c:pt>
                <c:pt idx="306">
                  <c:v>43894</c:v>
                </c:pt>
                <c:pt idx="307">
                  <c:v>43895</c:v>
                </c:pt>
                <c:pt idx="308">
                  <c:v>43896</c:v>
                </c:pt>
                <c:pt idx="309">
                  <c:v>43899</c:v>
                </c:pt>
                <c:pt idx="310">
                  <c:v>43900</c:v>
                </c:pt>
                <c:pt idx="311">
                  <c:v>43901</c:v>
                </c:pt>
                <c:pt idx="312">
                  <c:v>43902</c:v>
                </c:pt>
                <c:pt idx="313">
                  <c:v>43903</c:v>
                </c:pt>
                <c:pt idx="314">
                  <c:v>43906</c:v>
                </c:pt>
                <c:pt idx="315">
                  <c:v>43907</c:v>
                </c:pt>
                <c:pt idx="316">
                  <c:v>43908</c:v>
                </c:pt>
                <c:pt idx="317">
                  <c:v>43909</c:v>
                </c:pt>
                <c:pt idx="318">
                  <c:v>43910</c:v>
                </c:pt>
                <c:pt idx="319">
                  <c:v>43913</c:v>
                </c:pt>
                <c:pt idx="320">
                  <c:v>43914</c:v>
                </c:pt>
                <c:pt idx="321">
                  <c:v>43915</c:v>
                </c:pt>
                <c:pt idx="322">
                  <c:v>43916</c:v>
                </c:pt>
                <c:pt idx="323">
                  <c:v>43917</c:v>
                </c:pt>
                <c:pt idx="324">
                  <c:v>43920</c:v>
                </c:pt>
                <c:pt idx="325">
                  <c:v>43921</c:v>
                </c:pt>
                <c:pt idx="326">
                  <c:v>43922</c:v>
                </c:pt>
                <c:pt idx="327">
                  <c:v>43923</c:v>
                </c:pt>
                <c:pt idx="328">
                  <c:v>43924</c:v>
                </c:pt>
                <c:pt idx="329">
                  <c:v>43928</c:v>
                </c:pt>
                <c:pt idx="330">
                  <c:v>43929</c:v>
                </c:pt>
                <c:pt idx="331">
                  <c:v>43930</c:v>
                </c:pt>
                <c:pt idx="332">
                  <c:v>43931</c:v>
                </c:pt>
                <c:pt idx="333">
                  <c:v>43934</c:v>
                </c:pt>
                <c:pt idx="334">
                  <c:v>43935</c:v>
                </c:pt>
                <c:pt idx="335">
                  <c:v>43936</c:v>
                </c:pt>
                <c:pt idx="336">
                  <c:v>43937</c:v>
                </c:pt>
                <c:pt idx="337">
                  <c:v>43938</c:v>
                </c:pt>
                <c:pt idx="338">
                  <c:v>43941</c:v>
                </c:pt>
                <c:pt idx="339">
                  <c:v>43942</c:v>
                </c:pt>
                <c:pt idx="340">
                  <c:v>43943</c:v>
                </c:pt>
                <c:pt idx="341">
                  <c:v>43944</c:v>
                </c:pt>
                <c:pt idx="342">
                  <c:v>43945</c:v>
                </c:pt>
                <c:pt idx="343">
                  <c:v>43948</c:v>
                </c:pt>
                <c:pt idx="344">
                  <c:v>43949</c:v>
                </c:pt>
                <c:pt idx="345">
                  <c:v>43950</c:v>
                </c:pt>
                <c:pt idx="346">
                  <c:v>43951</c:v>
                </c:pt>
                <c:pt idx="347">
                  <c:v>43957</c:v>
                </c:pt>
                <c:pt idx="348">
                  <c:v>43958</c:v>
                </c:pt>
                <c:pt idx="349">
                  <c:v>43959</c:v>
                </c:pt>
                <c:pt idx="350">
                  <c:v>43962</c:v>
                </c:pt>
                <c:pt idx="351">
                  <c:v>43963</c:v>
                </c:pt>
                <c:pt idx="352">
                  <c:v>43964</c:v>
                </c:pt>
                <c:pt idx="353">
                  <c:v>43965</c:v>
                </c:pt>
                <c:pt idx="354">
                  <c:v>43966</c:v>
                </c:pt>
                <c:pt idx="355">
                  <c:v>43969</c:v>
                </c:pt>
                <c:pt idx="356">
                  <c:v>43970</c:v>
                </c:pt>
                <c:pt idx="357">
                  <c:v>43971</c:v>
                </c:pt>
                <c:pt idx="358">
                  <c:v>43972</c:v>
                </c:pt>
                <c:pt idx="359">
                  <c:v>43973</c:v>
                </c:pt>
                <c:pt idx="360">
                  <c:v>43976</c:v>
                </c:pt>
                <c:pt idx="361">
                  <c:v>43977</c:v>
                </c:pt>
                <c:pt idx="362">
                  <c:v>43978</c:v>
                </c:pt>
                <c:pt idx="363">
                  <c:v>43979</c:v>
                </c:pt>
                <c:pt idx="364">
                  <c:v>43980</c:v>
                </c:pt>
                <c:pt idx="365">
                  <c:v>43983</c:v>
                </c:pt>
                <c:pt idx="366">
                  <c:v>43984</c:v>
                </c:pt>
                <c:pt idx="367">
                  <c:v>43985</c:v>
                </c:pt>
                <c:pt idx="368">
                  <c:v>43986</c:v>
                </c:pt>
                <c:pt idx="369">
                  <c:v>43987</c:v>
                </c:pt>
                <c:pt idx="370">
                  <c:v>43990</c:v>
                </c:pt>
                <c:pt idx="371">
                  <c:v>43991</c:v>
                </c:pt>
                <c:pt idx="372">
                  <c:v>43992</c:v>
                </c:pt>
                <c:pt idx="373">
                  <c:v>43993</c:v>
                </c:pt>
                <c:pt idx="374">
                  <c:v>43994</c:v>
                </c:pt>
                <c:pt idx="375">
                  <c:v>43997</c:v>
                </c:pt>
                <c:pt idx="376">
                  <c:v>43998</c:v>
                </c:pt>
                <c:pt idx="377">
                  <c:v>43999</c:v>
                </c:pt>
                <c:pt idx="378">
                  <c:v>44000</c:v>
                </c:pt>
                <c:pt idx="379">
                  <c:v>44001</c:v>
                </c:pt>
                <c:pt idx="380">
                  <c:v>44004</c:v>
                </c:pt>
                <c:pt idx="381">
                  <c:v>44005</c:v>
                </c:pt>
                <c:pt idx="382">
                  <c:v>44006</c:v>
                </c:pt>
                <c:pt idx="383">
                  <c:v>44011</c:v>
                </c:pt>
                <c:pt idx="384">
                  <c:v>44012</c:v>
                </c:pt>
                <c:pt idx="385">
                  <c:v>44013</c:v>
                </c:pt>
                <c:pt idx="386">
                  <c:v>44014</c:v>
                </c:pt>
                <c:pt idx="387">
                  <c:v>44015</c:v>
                </c:pt>
                <c:pt idx="388">
                  <c:v>44018</c:v>
                </c:pt>
                <c:pt idx="389">
                  <c:v>44019</c:v>
                </c:pt>
                <c:pt idx="390">
                  <c:v>44020</c:v>
                </c:pt>
                <c:pt idx="391">
                  <c:v>44021</c:v>
                </c:pt>
                <c:pt idx="392">
                  <c:v>44022</c:v>
                </c:pt>
                <c:pt idx="393">
                  <c:v>44025</c:v>
                </c:pt>
                <c:pt idx="394">
                  <c:v>44026</c:v>
                </c:pt>
                <c:pt idx="395">
                  <c:v>44027</c:v>
                </c:pt>
                <c:pt idx="396">
                  <c:v>44028</c:v>
                </c:pt>
                <c:pt idx="397">
                  <c:v>44029</c:v>
                </c:pt>
                <c:pt idx="398">
                  <c:v>44029</c:v>
                </c:pt>
                <c:pt idx="399">
                  <c:v>44032</c:v>
                </c:pt>
                <c:pt idx="400">
                  <c:v>44033</c:v>
                </c:pt>
                <c:pt idx="401">
                  <c:v>44034</c:v>
                </c:pt>
                <c:pt idx="402">
                  <c:v>44035</c:v>
                </c:pt>
                <c:pt idx="403">
                  <c:v>44036</c:v>
                </c:pt>
                <c:pt idx="404">
                  <c:v>44039</c:v>
                </c:pt>
                <c:pt idx="405">
                  <c:v>44040</c:v>
                </c:pt>
                <c:pt idx="406">
                  <c:v>44041</c:v>
                </c:pt>
                <c:pt idx="407">
                  <c:v>44042</c:v>
                </c:pt>
                <c:pt idx="408">
                  <c:v>44043</c:v>
                </c:pt>
                <c:pt idx="409">
                  <c:v>44046</c:v>
                </c:pt>
                <c:pt idx="410">
                  <c:v>44047</c:v>
                </c:pt>
                <c:pt idx="411">
                  <c:v>44048</c:v>
                </c:pt>
                <c:pt idx="412">
                  <c:v>44049</c:v>
                </c:pt>
                <c:pt idx="413">
                  <c:v>44050</c:v>
                </c:pt>
                <c:pt idx="414">
                  <c:v>44053</c:v>
                </c:pt>
                <c:pt idx="415">
                  <c:v>44054</c:v>
                </c:pt>
                <c:pt idx="416">
                  <c:v>44055</c:v>
                </c:pt>
                <c:pt idx="417">
                  <c:v>44056</c:v>
                </c:pt>
                <c:pt idx="418">
                  <c:v>44057</c:v>
                </c:pt>
                <c:pt idx="419">
                  <c:v>44060</c:v>
                </c:pt>
                <c:pt idx="420">
                  <c:v>44061</c:v>
                </c:pt>
                <c:pt idx="421">
                  <c:v>44062</c:v>
                </c:pt>
                <c:pt idx="422">
                  <c:v>44063</c:v>
                </c:pt>
                <c:pt idx="423">
                  <c:v>44064</c:v>
                </c:pt>
                <c:pt idx="424">
                  <c:v>44067</c:v>
                </c:pt>
                <c:pt idx="425">
                  <c:v>44068</c:v>
                </c:pt>
                <c:pt idx="426">
                  <c:v>44069</c:v>
                </c:pt>
                <c:pt idx="427">
                  <c:v>44070</c:v>
                </c:pt>
                <c:pt idx="428">
                  <c:v>44071</c:v>
                </c:pt>
                <c:pt idx="429">
                  <c:v>44074</c:v>
                </c:pt>
                <c:pt idx="430">
                  <c:v>44075</c:v>
                </c:pt>
                <c:pt idx="431">
                  <c:v>44076</c:v>
                </c:pt>
                <c:pt idx="432">
                  <c:v>44077</c:v>
                </c:pt>
                <c:pt idx="433">
                  <c:v>44078</c:v>
                </c:pt>
                <c:pt idx="434">
                  <c:v>44081</c:v>
                </c:pt>
                <c:pt idx="435">
                  <c:v>44082</c:v>
                </c:pt>
                <c:pt idx="436">
                  <c:v>44083</c:v>
                </c:pt>
                <c:pt idx="437">
                  <c:v>44084</c:v>
                </c:pt>
                <c:pt idx="438">
                  <c:v>44085</c:v>
                </c:pt>
                <c:pt idx="439">
                  <c:v>44088</c:v>
                </c:pt>
                <c:pt idx="440">
                  <c:v>44089</c:v>
                </c:pt>
                <c:pt idx="441">
                  <c:v>44090</c:v>
                </c:pt>
                <c:pt idx="442">
                  <c:v>44091</c:v>
                </c:pt>
                <c:pt idx="443">
                  <c:v>44092</c:v>
                </c:pt>
                <c:pt idx="444">
                  <c:v>44095</c:v>
                </c:pt>
                <c:pt idx="445">
                  <c:v>44096</c:v>
                </c:pt>
                <c:pt idx="446">
                  <c:v>44097</c:v>
                </c:pt>
                <c:pt idx="447">
                  <c:v>44098</c:v>
                </c:pt>
                <c:pt idx="448">
                  <c:v>44099</c:v>
                </c:pt>
                <c:pt idx="449">
                  <c:v>44102</c:v>
                </c:pt>
                <c:pt idx="450">
                  <c:v>44103</c:v>
                </c:pt>
                <c:pt idx="451">
                  <c:v>44104</c:v>
                </c:pt>
                <c:pt idx="452">
                  <c:v>44113</c:v>
                </c:pt>
                <c:pt idx="453">
                  <c:v>44116</c:v>
                </c:pt>
                <c:pt idx="454">
                  <c:v>44117</c:v>
                </c:pt>
                <c:pt idx="455">
                  <c:v>44118</c:v>
                </c:pt>
                <c:pt idx="456">
                  <c:v>44119</c:v>
                </c:pt>
                <c:pt idx="457">
                  <c:v>44120</c:v>
                </c:pt>
                <c:pt idx="458">
                  <c:v>44123</c:v>
                </c:pt>
                <c:pt idx="459">
                  <c:v>44124</c:v>
                </c:pt>
                <c:pt idx="460">
                  <c:v>44125</c:v>
                </c:pt>
                <c:pt idx="461">
                  <c:v>44126</c:v>
                </c:pt>
                <c:pt idx="462">
                  <c:v>44127</c:v>
                </c:pt>
              </c:numCache>
            </c:numRef>
          </c:cat>
          <c:val>
            <c:numRef>
              <c:f>净值记录!$F$2:$F$464</c:f>
              <c:numCache>
                <c:formatCode>0.00%</c:formatCode>
                <c:ptCount val="463"/>
                <c:pt idx="0">
                  <c:v>1.3877653137667949E-3</c:v>
                </c:pt>
                <c:pt idx="1">
                  <c:v>1.2247425021101785E-2</c:v>
                </c:pt>
                <c:pt idx="2">
                  <c:v>4.0347196830429312E-3</c:v>
                </c:pt>
                <c:pt idx="3">
                  <c:v>1.0738510832417766E-2</c:v>
                </c:pt>
                <c:pt idx="4">
                  <c:v>3.1636361649726316E-2</c:v>
                </c:pt>
                <c:pt idx="5">
                  <c:v>3.1674488884203066E-2</c:v>
                </c:pt>
                <c:pt idx="6">
                  <c:v>2.7554766925162039E-2</c:v>
                </c:pt>
                <c:pt idx="7">
                  <c:v>1.3114613289242698E-2</c:v>
                </c:pt>
                <c:pt idx="8">
                  <c:v>1.1817462052219466E-2</c:v>
                </c:pt>
                <c:pt idx="9">
                  <c:v>2.7725596741974491E-3</c:v>
                </c:pt>
                <c:pt idx="10">
                  <c:v>6.5588746477709117E-3</c:v>
                </c:pt>
                <c:pt idx="11">
                  <c:v>8.1217611553893228E-3</c:v>
                </c:pt>
                <c:pt idx="12">
                  <c:v>2.0497762434747831E-2</c:v>
                </c:pt>
                <c:pt idx="13">
                  <c:v>7.5654689510006087E-3</c:v>
                </c:pt>
                <c:pt idx="14">
                  <c:v>6.1893236303127196E-3</c:v>
                </c:pt>
                <c:pt idx="15">
                  <c:v>-3.197004412202538E-3</c:v>
                </c:pt>
                <c:pt idx="16">
                  <c:v>-1.2925828836023841E-2</c:v>
                </c:pt>
                <c:pt idx="17">
                  <c:v>-1.8548050148148469E-2</c:v>
                </c:pt>
                <c:pt idx="18">
                  <c:v>-2.8761597463334086E-2</c:v>
                </c:pt>
                <c:pt idx="19">
                  <c:v>-2.6089380860464372E-2</c:v>
                </c:pt>
                <c:pt idx="20">
                  <c:v>-3.2286994746242879E-2</c:v>
                </c:pt>
                <c:pt idx="21">
                  <c:v>-3.7008725740219232E-2</c:v>
                </c:pt>
                <c:pt idx="22">
                  <c:v>-3.842715999304467E-2</c:v>
                </c:pt>
                <c:pt idx="23">
                  <c:v>-3.6419193278340999E-2</c:v>
                </c:pt>
                <c:pt idx="24">
                  <c:v>-4.51975504876665E-2</c:v>
                </c:pt>
                <c:pt idx="25">
                  <c:v>-1.2299324789443764E-2</c:v>
                </c:pt>
                <c:pt idx="26">
                  <c:v>7.2964241266931318E-3</c:v>
                </c:pt>
                <c:pt idx="27">
                  <c:v>1.565418948642942E-2</c:v>
                </c:pt>
                <c:pt idx="28">
                  <c:v>1.3886430203685855E-2</c:v>
                </c:pt>
                <c:pt idx="29">
                  <c:v>1.8333430998940053E-2</c:v>
                </c:pt>
                <c:pt idx="30">
                  <c:v>1.7929090379743946E-2</c:v>
                </c:pt>
                <c:pt idx="31">
                  <c:v>2.5504135854497952E-2</c:v>
                </c:pt>
                <c:pt idx="32">
                  <c:v>1.8073519058482552E-2</c:v>
                </c:pt>
                <c:pt idx="33">
                  <c:v>3.226393515091687E-2</c:v>
                </c:pt>
                <c:pt idx="34">
                  <c:v>1.941903334036809E-2</c:v>
                </c:pt>
                <c:pt idx="35">
                  <c:v>1.3946111475892151E-2</c:v>
                </c:pt>
                <c:pt idx="36">
                  <c:v>3.9320350370199916E-2</c:v>
                </c:pt>
                <c:pt idx="37">
                  <c:v>4.3964000957372705E-2</c:v>
                </c:pt>
                <c:pt idx="38">
                  <c:v>3.2988913405040024E-2</c:v>
                </c:pt>
                <c:pt idx="39">
                  <c:v>3.1506281400260759E-2</c:v>
                </c:pt>
                <c:pt idx="40">
                  <c:v>3.8377684675705195E-2</c:v>
                </c:pt>
                <c:pt idx="41">
                  <c:v>4.2889141244941698E-2</c:v>
                </c:pt>
                <c:pt idx="42">
                  <c:v>4.1290279962541372E-2</c:v>
                </c:pt>
                <c:pt idx="43">
                  <c:v>4.1498418399360124E-2</c:v>
                </c:pt>
                <c:pt idx="44">
                  <c:v>3.6940708844163846E-2</c:v>
                </c:pt>
                <c:pt idx="45">
                  <c:v>4.2736207984913684E-2</c:v>
                </c:pt>
                <c:pt idx="46">
                  <c:v>5.774201945886339E-2</c:v>
                </c:pt>
                <c:pt idx="47">
                  <c:v>7.0310895385458816E-2</c:v>
                </c:pt>
                <c:pt idx="48">
                  <c:v>7.6693061431994045E-2</c:v>
                </c:pt>
                <c:pt idx="49">
                  <c:v>9.4827365194985441E-2</c:v>
                </c:pt>
                <c:pt idx="50">
                  <c:v>9.5854181483290612E-2</c:v>
                </c:pt>
                <c:pt idx="51">
                  <c:v>8.2291910780825123E-2</c:v>
                </c:pt>
                <c:pt idx="52">
                  <c:v>0.10993627606667077</c:v>
                </c:pt>
                <c:pt idx="53">
                  <c:v>0.10962623185756028</c:v>
                </c:pt>
                <c:pt idx="54">
                  <c:v>0.11042566249876076</c:v>
                </c:pt>
                <c:pt idx="55">
                  <c:v>0.10810838790217983</c:v>
                </c:pt>
                <c:pt idx="56">
                  <c:v>0.1315662611459513</c:v>
                </c:pt>
                <c:pt idx="57">
                  <c:v>0.19589804728548527</c:v>
                </c:pt>
                <c:pt idx="58">
                  <c:v>0.17436996797849683</c:v>
                </c:pt>
                <c:pt idx="59">
                  <c:v>0.17249373798351897</c:v>
                </c:pt>
                <c:pt idx="60">
                  <c:v>0.17032298091020395</c:v>
                </c:pt>
                <c:pt idx="61">
                  <c:v>0.18605136846707027</c:v>
                </c:pt>
                <c:pt idx="62">
                  <c:v>0.19523422741505556</c:v>
                </c:pt>
                <c:pt idx="63">
                  <c:v>0.20459553336693659</c:v>
                </c:pt>
                <c:pt idx="64">
                  <c:v>0.21101679064676701</c:v>
                </c:pt>
                <c:pt idx="65">
                  <c:v>0.20254757051118585</c:v>
                </c:pt>
                <c:pt idx="66">
                  <c:v>0.17428580246436823</c:v>
                </c:pt>
                <c:pt idx="67">
                  <c:v>0.18932548306029479</c:v>
                </c:pt>
                <c:pt idx="68">
                  <c:v>0.20004229990715605</c:v>
                </c:pt>
                <c:pt idx="69">
                  <c:v>0.19159680307727686</c:v>
                </c:pt>
                <c:pt idx="70">
                  <c:v>0.18229025469264484</c:v>
                </c:pt>
                <c:pt idx="71">
                  <c:v>0.19072053279811144</c:v>
                </c:pt>
                <c:pt idx="72">
                  <c:v>0.21411753114423288</c:v>
                </c:pt>
                <c:pt idx="73">
                  <c:v>0.21140188405567639</c:v>
                </c:pt>
                <c:pt idx="74">
                  <c:v>0.20935177267412605</c:v>
                </c:pt>
                <c:pt idx="75">
                  <c:v>0.21080605607460715</c:v>
                </c:pt>
                <c:pt idx="76">
                  <c:v>0.2132473185141959</c:v>
                </c:pt>
                <c:pt idx="77">
                  <c:v>0.20238577458223508</c:v>
                </c:pt>
                <c:pt idx="78">
                  <c:v>0.18713124140636678</c:v>
                </c:pt>
                <c:pt idx="79">
                  <c:v>0.19158510554792446</c:v>
                </c:pt>
                <c:pt idx="80">
                  <c:v>0.18826085868604697</c:v>
                </c:pt>
                <c:pt idx="81">
                  <c:v>0.22123028548447846</c:v>
                </c:pt>
                <c:pt idx="82">
                  <c:v>0.24753614903792298</c:v>
                </c:pt>
                <c:pt idx="83">
                  <c:v>0.24660706083285508</c:v>
                </c:pt>
                <c:pt idx="84">
                  <c:v>0.25745532568175017</c:v>
                </c:pt>
                <c:pt idx="85">
                  <c:v>0.26635693663446436</c:v>
                </c:pt>
                <c:pt idx="86">
                  <c:v>0.25902195907715925</c:v>
                </c:pt>
                <c:pt idx="87">
                  <c:v>0.26215507666479665</c:v>
                </c:pt>
                <c:pt idx="88">
                  <c:v>0.2620728657123329</c:v>
                </c:pt>
                <c:pt idx="89">
                  <c:v>0.24649933613652311</c:v>
                </c:pt>
                <c:pt idx="90">
                  <c:v>0.24393065418077442</c:v>
                </c:pt>
                <c:pt idx="91">
                  <c:v>0.23904469762844496</c:v>
                </c:pt>
                <c:pt idx="92">
                  <c:v>0.26313757960848888</c:v>
                </c:pt>
                <c:pt idx="93">
                  <c:v>0.26156154641270762</c:v>
                </c:pt>
                <c:pt idx="94">
                  <c:v>0.26118659882007295</c:v>
                </c:pt>
                <c:pt idx="95">
                  <c:v>0.27117530414602031</c:v>
                </c:pt>
                <c:pt idx="96">
                  <c:v>0.25121549946942623</c:v>
                </c:pt>
                <c:pt idx="97">
                  <c:v>0.24409806014931254</c:v>
                </c:pt>
                <c:pt idx="98">
                  <c:v>0.24707570802285286</c:v>
                </c:pt>
                <c:pt idx="99">
                  <c:v>0.22528876119767099</c:v>
                </c:pt>
                <c:pt idx="100">
                  <c:v>0.21534675646722462</c:v>
                </c:pt>
                <c:pt idx="101">
                  <c:v>0.21297964800835195</c:v>
                </c:pt>
                <c:pt idx="102">
                  <c:v>0.21495927580742685</c:v>
                </c:pt>
                <c:pt idx="103">
                  <c:v>0.16365486696821138</c:v>
                </c:pt>
                <c:pt idx="104">
                  <c:v>0.17122125865849522</c:v>
                </c:pt>
                <c:pt idx="105">
                  <c:v>0.16288151704296519</c:v>
                </c:pt>
                <c:pt idx="106">
                  <c:v>0.15344262543721657</c:v>
                </c:pt>
                <c:pt idx="107">
                  <c:v>0.18057776026796427</c:v>
                </c:pt>
                <c:pt idx="108">
                  <c:v>0.16718573039446638</c:v>
                </c:pt>
                <c:pt idx="109">
                  <c:v>0.16195959059056234</c:v>
                </c:pt>
                <c:pt idx="110">
                  <c:v>0.17673458474425488</c:v>
                </c:pt>
                <c:pt idx="111">
                  <c:v>0.18331996552265176</c:v>
                </c:pt>
                <c:pt idx="112">
                  <c:v>0.16214072325170789</c:v>
                </c:pt>
                <c:pt idx="113">
                  <c:v>0.16203777305715225</c:v>
                </c:pt>
                <c:pt idx="114">
                  <c:v>0.17217777040814189</c:v>
                </c:pt>
                <c:pt idx="115">
                  <c:v>0.1692751717344004</c:v>
                </c:pt>
                <c:pt idx="116">
                  <c:v>0.15707258961596932</c:v>
                </c:pt>
                <c:pt idx="117">
                  <c:v>0.15035531322599693</c:v>
                </c:pt>
                <c:pt idx="118">
                  <c:v>0.16696670012546996</c:v>
                </c:pt>
                <c:pt idx="119">
                  <c:v>0.16797650725119667</c:v>
                </c:pt>
                <c:pt idx="120">
                  <c:v>0.16885501557806987</c:v>
                </c:pt>
                <c:pt idx="121">
                  <c:v>0.1660744651059895</c:v>
                </c:pt>
                <c:pt idx="122">
                  <c:v>0.16320707838284934</c:v>
                </c:pt>
                <c:pt idx="123">
                  <c:v>0.16096112290655501</c:v>
                </c:pt>
                <c:pt idx="124">
                  <c:v>0.15044364150886186</c:v>
                </c:pt>
                <c:pt idx="125">
                  <c:v>0.14853115514101892</c:v>
                </c:pt>
                <c:pt idx="126">
                  <c:v>0.13786074048329772</c:v>
                </c:pt>
                <c:pt idx="127">
                  <c:v>0.14766144980179621</c:v>
                </c:pt>
                <c:pt idx="128">
                  <c:v>0.1728963329255028</c:v>
                </c:pt>
                <c:pt idx="129">
                  <c:v>0.17318213161777984</c:v>
                </c:pt>
                <c:pt idx="130">
                  <c:v>0.17005572817326561</c:v>
                </c:pt>
                <c:pt idx="131">
                  <c:v>0.15715785923363387</c:v>
                </c:pt>
                <c:pt idx="132">
                  <c:v>0.15227039572918116</c:v>
                </c:pt>
                <c:pt idx="133">
                  <c:v>0.14801539425075042</c:v>
                </c:pt>
                <c:pt idx="134">
                  <c:v>0.17086663634798702</c:v>
                </c:pt>
                <c:pt idx="135">
                  <c:v>0.1940998698547447</c:v>
                </c:pt>
                <c:pt idx="136">
                  <c:v>0.2058152717504115</c:v>
                </c:pt>
                <c:pt idx="137">
                  <c:v>0.20512935166385965</c:v>
                </c:pt>
                <c:pt idx="138">
                  <c:v>0.19320356321410348</c:v>
                </c:pt>
                <c:pt idx="139">
                  <c:v>0.19952980700193779</c:v>
                </c:pt>
                <c:pt idx="140">
                  <c:v>0.21338702391186104</c:v>
                </c:pt>
                <c:pt idx="141">
                  <c:v>0.20313434119130155</c:v>
                </c:pt>
                <c:pt idx="142">
                  <c:v>0.23598293928918235</c:v>
                </c:pt>
                <c:pt idx="143">
                  <c:v>0.23414588517725013</c:v>
                </c:pt>
                <c:pt idx="144">
                  <c:v>0.23015619712225147</c:v>
                </c:pt>
                <c:pt idx="145">
                  <c:v>0.22844264524381125</c:v>
                </c:pt>
                <c:pt idx="146">
                  <c:v>0.23212024881390714</c:v>
                </c:pt>
                <c:pt idx="147">
                  <c:v>0.19515146973507363</c:v>
                </c:pt>
                <c:pt idx="148">
                  <c:v>0.19673586024802853</c:v>
                </c:pt>
                <c:pt idx="149">
                  <c:v>0.19813150206451424</c:v>
                </c:pt>
                <c:pt idx="150">
                  <c:v>0.19537500544879327</c:v>
                </c:pt>
                <c:pt idx="151">
                  <c:v>0.19960487372337343</c:v>
                </c:pt>
                <c:pt idx="152">
                  <c:v>0.21645543856742652</c:v>
                </c:pt>
                <c:pt idx="153">
                  <c:v>0.21686672430726386</c:v>
                </c:pt>
                <c:pt idx="154">
                  <c:v>0.22368817543348898</c:v>
                </c:pt>
                <c:pt idx="155">
                  <c:v>0.20407837607214557</c:v>
                </c:pt>
                <c:pt idx="156">
                  <c:v>0.21229919538080108</c:v>
                </c:pt>
                <c:pt idx="157">
                  <c:v>0.19176381456492236</c:v>
                </c:pt>
                <c:pt idx="158">
                  <c:v>0.21474285945914259</c:v>
                </c:pt>
                <c:pt idx="159">
                  <c:v>0.23669255454522564</c:v>
                </c:pt>
                <c:pt idx="160">
                  <c:v>0.24959343413329205</c:v>
                </c:pt>
                <c:pt idx="161">
                  <c:v>0.25507541409869766</c:v>
                </c:pt>
                <c:pt idx="162">
                  <c:v>0.26181793761342592</c:v>
                </c:pt>
                <c:pt idx="163">
                  <c:v>0.25727014166036744</c:v>
                </c:pt>
                <c:pt idx="164">
                  <c:v>0.26087649519292494</c:v>
                </c:pt>
                <c:pt idx="165">
                  <c:v>0.2504380977784128</c:v>
                </c:pt>
                <c:pt idx="166">
                  <c:v>0.23265956791120196</c:v>
                </c:pt>
                <c:pt idx="167">
                  <c:v>0.22311395469956849</c:v>
                </c:pt>
                <c:pt idx="168">
                  <c:v>0.19515967426102904</c:v>
                </c:pt>
                <c:pt idx="169">
                  <c:v>0.17577811151162298</c:v>
                </c:pt>
                <c:pt idx="170">
                  <c:v>0.20309553384217707</c:v>
                </c:pt>
                <c:pt idx="171">
                  <c:v>0.18427501916004257</c:v>
                </c:pt>
                <c:pt idx="172">
                  <c:v>0.2152635830366727</c:v>
                </c:pt>
                <c:pt idx="173">
                  <c:v>0.20725191341481</c:v>
                </c:pt>
                <c:pt idx="174">
                  <c:v>0.21686177698009818</c:v>
                </c:pt>
                <c:pt idx="175">
                  <c:v>0.22593908845086569</c:v>
                </c:pt>
                <c:pt idx="176">
                  <c:v>0.2300056788263406</c:v>
                </c:pt>
                <c:pt idx="177">
                  <c:v>0.2758718287781709</c:v>
                </c:pt>
                <c:pt idx="178">
                  <c:v>0.27502985343236602</c:v>
                </c:pt>
                <c:pt idx="179">
                  <c:v>0.27901471950863149</c:v>
                </c:pt>
                <c:pt idx="180">
                  <c:v>0.28537989959881427</c:v>
                </c:pt>
                <c:pt idx="181">
                  <c:v>0.27811033226424559</c:v>
                </c:pt>
                <c:pt idx="182">
                  <c:v>0.2747281173955371</c:v>
                </c:pt>
                <c:pt idx="183">
                  <c:v>0.2984341231576198</c:v>
                </c:pt>
                <c:pt idx="184">
                  <c:v>0.29681133452936032</c:v>
                </c:pt>
                <c:pt idx="185">
                  <c:v>0.3031550316847762</c:v>
                </c:pt>
                <c:pt idx="186">
                  <c:v>0.31127023502174156</c:v>
                </c:pt>
                <c:pt idx="187">
                  <c:v>0.34739318236520372</c:v>
                </c:pt>
                <c:pt idx="188">
                  <c:v>0.35643459206491518</c:v>
                </c:pt>
                <c:pt idx="189">
                  <c:v>0.3658571294641858</c:v>
                </c:pt>
                <c:pt idx="190">
                  <c:v>0.37372342190565477</c:v>
                </c:pt>
                <c:pt idx="191">
                  <c:v>0.37763854986826206</c:v>
                </c:pt>
                <c:pt idx="192">
                  <c:v>0.3931049364376768</c:v>
                </c:pt>
                <c:pt idx="193">
                  <c:v>0.38593694087491748</c:v>
                </c:pt>
                <c:pt idx="194">
                  <c:v>0.38051754301134932</c:v>
                </c:pt>
                <c:pt idx="195">
                  <c:v>0.38164903021023511</c:v>
                </c:pt>
                <c:pt idx="196">
                  <c:v>0.38130346837715429</c:v>
                </c:pt>
                <c:pt idx="197">
                  <c:v>0.37592780896872652</c:v>
                </c:pt>
                <c:pt idx="198">
                  <c:v>0.37551583337563693</c:v>
                </c:pt>
                <c:pt idx="199">
                  <c:v>0.37951471275863391</c:v>
                </c:pt>
                <c:pt idx="200">
                  <c:v>0.38279332702879554</c:v>
                </c:pt>
                <c:pt idx="201">
                  <c:v>0.38738656575532371</c:v>
                </c:pt>
                <c:pt idx="202">
                  <c:v>0.38745297951533253</c:v>
                </c:pt>
                <c:pt idx="203">
                  <c:v>0.3761006074086865</c:v>
                </c:pt>
                <c:pt idx="204">
                  <c:v>0.36563535841561612</c:v>
                </c:pt>
                <c:pt idx="205">
                  <c:v>0.36575364149742623</c:v>
                </c:pt>
                <c:pt idx="206">
                  <c:v>0.36513594095908469</c:v>
                </c:pt>
                <c:pt idx="207">
                  <c:v>0.36546450507522371</c:v>
                </c:pt>
                <c:pt idx="208">
                  <c:v>0.36560907328632519</c:v>
                </c:pt>
                <c:pt idx="209">
                  <c:v>0.36597706509640104</c:v>
                </c:pt>
                <c:pt idx="210">
                  <c:v>0.36660790819938815</c:v>
                </c:pt>
                <c:pt idx="211">
                  <c:v>0.36517405439655687</c:v>
                </c:pt>
                <c:pt idx="212">
                  <c:v>0.36334961893193879</c:v>
                </c:pt>
                <c:pt idx="213">
                  <c:v>0.36326305122824026</c:v>
                </c:pt>
                <c:pt idx="214">
                  <c:v>0.36285568444234961</c:v>
                </c:pt>
                <c:pt idx="215">
                  <c:v>0.35840265463063714</c:v>
                </c:pt>
                <c:pt idx="216">
                  <c:v>0.35311028398534011</c:v>
                </c:pt>
                <c:pt idx="217">
                  <c:v>0.35993055650734201</c:v>
                </c:pt>
                <c:pt idx="218">
                  <c:v>0.35205482545209021</c:v>
                </c:pt>
                <c:pt idx="219">
                  <c:v>0.35123379933705423</c:v>
                </c:pt>
                <c:pt idx="220">
                  <c:v>0.35660155987758335</c:v>
                </c:pt>
                <c:pt idx="221">
                  <c:v>0.3675884007133875</c:v>
                </c:pt>
                <c:pt idx="222">
                  <c:v>0.35689811356946838</c:v>
                </c:pt>
                <c:pt idx="223">
                  <c:v>0.35326424962059566</c:v>
                </c:pt>
                <c:pt idx="224">
                  <c:v>0.35804564955332302</c:v>
                </c:pt>
                <c:pt idx="225">
                  <c:v>0.36764032541832892</c:v>
                </c:pt>
                <c:pt idx="226">
                  <c:v>0.37607535530111913</c:v>
                </c:pt>
                <c:pt idx="227">
                  <c:v>0.38131976378620425</c:v>
                </c:pt>
                <c:pt idx="228">
                  <c:v>0.37121924824713365</c:v>
                </c:pt>
                <c:pt idx="229">
                  <c:v>0.37686599315480285</c:v>
                </c:pt>
                <c:pt idx="230">
                  <c:v>0.37235608255745967</c:v>
                </c:pt>
                <c:pt idx="231">
                  <c:v>0.35436790180353323</c:v>
                </c:pt>
                <c:pt idx="232">
                  <c:v>0.35508368636929438</c:v>
                </c:pt>
                <c:pt idx="233">
                  <c:v>0.3647537955028094</c:v>
                </c:pt>
                <c:pt idx="234">
                  <c:v>0.37470048753519902</c:v>
                </c:pt>
                <c:pt idx="235">
                  <c:v>0.37083150821569383</c:v>
                </c:pt>
                <c:pt idx="236">
                  <c:v>0.37178471278122371</c:v>
                </c:pt>
                <c:pt idx="237">
                  <c:v>0.38395705072865433</c:v>
                </c:pt>
                <c:pt idx="238">
                  <c:v>0.3792374228134861</c:v>
                </c:pt>
                <c:pt idx="239">
                  <c:v>0.37672366210084973</c:v>
                </c:pt>
                <c:pt idx="240">
                  <c:v>0.35433600796884662</c:v>
                </c:pt>
                <c:pt idx="241">
                  <c:v>0.34286381142795563</c:v>
                </c:pt>
                <c:pt idx="242">
                  <c:v>0.34179251072156364</c:v>
                </c:pt>
                <c:pt idx="243">
                  <c:v>0.34892045636645552</c:v>
                </c:pt>
                <c:pt idx="244">
                  <c:v>0.34970495215932523</c:v>
                </c:pt>
                <c:pt idx="245">
                  <c:v>0.3417629866863483</c:v>
                </c:pt>
                <c:pt idx="246">
                  <c:v>0.34027834948693875</c:v>
                </c:pt>
                <c:pt idx="247">
                  <c:v>0.35041037415044912</c:v>
                </c:pt>
                <c:pt idx="248">
                  <c:v>0.35374424507786378</c:v>
                </c:pt>
                <c:pt idx="249">
                  <c:v>0.36824898180732107</c:v>
                </c:pt>
                <c:pt idx="250">
                  <c:v>0.38436910503499933</c:v>
                </c:pt>
                <c:pt idx="251">
                  <c:v>0.38877662172074601</c:v>
                </c:pt>
                <c:pt idx="252">
                  <c:v>0.41010584762571106</c:v>
                </c:pt>
                <c:pt idx="253">
                  <c:v>0.40345872198290084</c:v>
                </c:pt>
                <c:pt idx="254">
                  <c:v>0.42878612647850745</c:v>
                </c:pt>
                <c:pt idx="255">
                  <c:v>0.44071805442489731</c:v>
                </c:pt>
                <c:pt idx="256">
                  <c:v>0.4569731446707036</c:v>
                </c:pt>
                <c:pt idx="257">
                  <c:v>0.46099450384670865</c:v>
                </c:pt>
                <c:pt idx="258">
                  <c:v>0.45181005696437027</c:v>
                </c:pt>
                <c:pt idx="259">
                  <c:v>0.44269322454280935</c:v>
                </c:pt>
                <c:pt idx="260">
                  <c:v>0.43836375878353184</c:v>
                </c:pt>
                <c:pt idx="261">
                  <c:v>0.42155061593552656</c:v>
                </c:pt>
                <c:pt idx="262">
                  <c:v>0.42585906521331474</c:v>
                </c:pt>
                <c:pt idx="263">
                  <c:v>0.42764739982558125</c:v>
                </c:pt>
                <c:pt idx="264">
                  <c:v>0.43116035622443044</c:v>
                </c:pt>
                <c:pt idx="265">
                  <c:v>0.41955821396975224</c:v>
                </c:pt>
                <c:pt idx="266">
                  <c:v>0.43870061529610715</c:v>
                </c:pt>
                <c:pt idx="267">
                  <c:v>0.43890231141463187</c:v>
                </c:pt>
                <c:pt idx="268">
                  <c:v>0.45753606872256397</c:v>
                </c:pt>
                <c:pt idx="269">
                  <c:v>0.45540802646994383</c:v>
                </c:pt>
                <c:pt idx="270">
                  <c:v>0.46413474990293391</c:v>
                </c:pt>
                <c:pt idx="271">
                  <c:v>0.47602592876469035</c:v>
                </c:pt>
                <c:pt idx="272">
                  <c:v>0.45048292906603826</c:v>
                </c:pt>
                <c:pt idx="273">
                  <c:v>0.47745375097252385</c:v>
                </c:pt>
                <c:pt idx="274">
                  <c:v>0.48185027469255082</c:v>
                </c:pt>
                <c:pt idx="275">
                  <c:v>0.50398785775971455</c:v>
                </c:pt>
                <c:pt idx="276">
                  <c:v>0.49519497026072479</c:v>
                </c:pt>
                <c:pt idx="277">
                  <c:v>0.49899813499784051</c:v>
                </c:pt>
                <c:pt idx="278">
                  <c:v>0.49745155472580777</c:v>
                </c:pt>
                <c:pt idx="279">
                  <c:v>0.49576125928708964</c:v>
                </c:pt>
                <c:pt idx="280">
                  <c:v>0.53390105352281303</c:v>
                </c:pt>
                <c:pt idx="281">
                  <c:v>0.5212046516775648</c:v>
                </c:pt>
                <c:pt idx="282">
                  <c:v>0.54131540365816588</c:v>
                </c:pt>
                <c:pt idx="283">
                  <c:v>0.50155521059333918</c:v>
                </c:pt>
                <c:pt idx="284">
                  <c:v>0.39117031146066128</c:v>
                </c:pt>
                <c:pt idx="285">
                  <c:v>0.44971807633973382</c:v>
                </c:pt>
                <c:pt idx="286">
                  <c:v>0.46811065735095536</c:v>
                </c:pt>
                <c:pt idx="287">
                  <c:v>0.48710739339515047</c:v>
                </c:pt>
                <c:pt idx="288">
                  <c:v>0.48765773087642511</c:v>
                </c:pt>
                <c:pt idx="289">
                  <c:v>0.49555309239857664</c:v>
                </c:pt>
                <c:pt idx="290">
                  <c:v>0.49276191586214796</c:v>
                </c:pt>
                <c:pt idx="291">
                  <c:v>0.52259210786910104</c:v>
                </c:pt>
                <c:pt idx="292">
                  <c:v>0.51470489635318128</c:v>
                </c:pt>
                <c:pt idx="293">
                  <c:v>0.51375385596355316</c:v>
                </c:pt>
                <c:pt idx="294">
                  <c:v>0.561801168861633</c:v>
                </c:pt>
                <c:pt idx="295">
                  <c:v>0.58508126619783163</c:v>
                </c:pt>
                <c:pt idx="296">
                  <c:v>0.56510909705900092</c:v>
                </c:pt>
                <c:pt idx="297">
                  <c:v>0.61321442287063632</c:v>
                </c:pt>
                <c:pt idx="298">
                  <c:v>0.64281098136561565</c:v>
                </c:pt>
                <c:pt idx="299">
                  <c:v>0.68657258898201623</c:v>
                </c:pt>
                <c:pt idx="300">
                  <c:v>0.6612497509870594</c:v>
                </c:pt>
                <c:pt idx="301">
                  <c:v>0.62093421714647457</c:v>
                </c:pt>
                <c:pt idx="302">
                  <c:v>0.62093421714647457</c:v>
                </c:pt>
                <c:pt idx="303">
                  <c:v>0.62093421714647457</c:v>
                </c:pt>
                <c:pt idx="304">
                  <c:v>0.62093421714647457</c:v>
                </c:pt>
                <c:pt idx="305">
                  <c:v>0.62093421714647457</c:v>
                </c:pt>
                <c:pt idx="306">
                  <c:v>0.62093421714647457</c:v>
                </c:pt>
                <c:pt idx="307">
                  <c:v>0.62093421714647457</c:v>
                </c:pt>
                <c:pt idx="308">
                  <c:v>0.61952890090285895</c:v>
                </c:pt>
                <c:pt idx="309">
                  <c:v>0.61356368152841945</c:v>
                </c:pt>
                <c:pt idx="310">
                  <c:v>0.61712966359421551</c:v>
                </c:pt>
                <c:pt idx="311">
                  <c:v>0.61348830224177087</c:v>
                </c:pt>
                <c:pt idx="312">
                  <c:v>0.60625984174997949</c:v>
                </c:pt>
                <c:pt idx="313">
                  <c:v>0.61512608726824536</c:v>
                </c:pt>
                <c:pt idx="314">
                  <c:v>0.61248537152137372</c:v>
                </c:pt>
                <c:pt idx="315">
                  <c:v>0.61248537152137372</c:v>
                </c:pt>
                <c:pt idx="316">
                  <c:v>0.61248537152137372</c:v>
                </c:pt>
                <c:pt idx="317">
                  <c:v>0.61248537152137372</c:v>
                </c:pt>
                <c:pt idx="318">
                  <c:v>0.61252551543044909</c:v>
                </c:pt>
                <c:pt idx="319">
                  <c:v>0.61252551543044975</c:v>
                </c:pt>
                <c:pt idx="320">
                  <c:v>0.61252551543044975</c:v>
                </c:pt>
                <c:pt idx="321">
                  <c:v>0.61252551543044975</c:v>
                </c:pt>
                <c:pt idx="322">
                  <c:v>0.61252551543044975</c:v>
                </c:pt>
                <c:pt idx="323">
                  <c:v>0.61252551543044975</c:v>
                </c:pt>
                <c:pt idx="324">
                  <c:v>0.61252551543044975</c:v>
                </c:pt>
                <c:pt idx="325">
                  <c:v>0.29014366520389723</c:v>
                </c:pt>
                <c:pt idx="326">
                  <c:v>0.29014366520389723</c:v>
                </c:pt>
                <c:pt idx="327">
                  <c:v>0.29014366520389723</c:v>
                </c:pt>
                <c:pt idx="328">
                  <c:v>0.29014366520389723</c:v>
                </c:pt>
                <c:pt idx="329">
                  <c:v>0.29014366520389723</c:v>
                </c:pt>
                <c:pt idx="330">
                  <c:v>0.29014366520389723</c:v>
                </c:pt>
                <c:pt idx="331">
                  <c:v>0.29008187528482737</c:v>
                </c:pt>
                <c:pt idx="332">
                  <c:v>0.28497513892503107</c:v>
                </c:pt>
                <c:pt idx="333">
                  <c:v>0.28256654115284036</c:v>
                </c:pt>
                <c:pt idx="334">
                  <c:v>0.29287381236955895</c:v>
                </c:pt>
                <c:pt idx="335">
                  <c:v>0.28783364996594718</c:v>
                </c:pt>
                <c:pt idx="336">
                  <c:v>0.28882003569373293</c:v>
                </c:pt>
                <c:pt idx="337">
                  <c:v>0.29325711923436809</c:v>
                </c:pt>
                <c:pt idx="338">
                  <c:v>0.29687338408869063</c:v>
                </c:pt>
                <c:pt idx="339">
                  <c:v>0.28686544836217087</c:v>
                </c:pt>
                <c:pt idx="340">
                  <c:v>0.29124103238596749</c:v>
                </c:pt>
                <c:pt idx="341">
                  <c:v>0.29290731006800153</c:v>
                </c:pt>
                <c:pt idx="342">
                  <c:v>0.28822319501480748</c:v>
                </c:pt>
                <c:pt idx="343">
                  <c:v>0.293769235799616</c:v>
                </c:pt>
                <c:pt idx="344">
                  <c:v>0.29138459328644156</c:v>
                </c:pt>
                <c:pt idx="345">
                  <c:v>0.29341999921972672</c:v>
                </c:pt>
                <c:pt idx="346">
                  <c:v>0.30999262147555467</c:v>
                </c:pt>
                <c:pt idx="347">
                  <c:v>0.30818954253946168</c:v>
                </c:pt>
                <c:pt idx="348">
                  <c:v>0.30253897337220781</c:v>
                </c:pt>
                <c:pt idx="349">
                  <c:v>0.31248518628053917</c:v>
                </c:pt>
                <c:pt idx="350">
                  <c:v>0.3101552859319115</c:v>
                </c:pt>
                <c:pt idx="351">
                  <c:v>0.30959124503321317</c:v>
                </c:pt>
                <c:pt idx="352">
                  <c:v>0.3156557660995471</c:v>
                </c:pt>
                <c:pt idx="353">
                  <c:v>0.30589253703190311</c:v>
                </c:pt>
                <c:pt idx="354">
                  <c:v>0.30908615329924383</c:v>
                </c:pt>
                <c:pt idx="355">
                  <c:v>0.31159672378414066</c:v>
                </c:pt>
                <c:pt idx="356">
                  <c:v>0.32574042832971534</c:v>
                </c:pt>
                <c:pt idx="357">
                  <c:v>0.31966410521816457</c:v>
                </c:pt>
                <c:pt idx="358">
                  <c:v>0.31146661973939782</c:v>
                </c:pt>
                <c:pt idx="359">
                  <c:v>0.28957468364593392</c:v>
                </c:pt>
                <c:pt idx="360">
                  <c:v>0.29061115076555638</c:v>
                </c:pt>
                <c:pt idx="361">
                  <c:v>0.30093754303181208</c:v>
                </c:pt>
                <c:pt idx="362">
                  <c:v>0.29120926597082397</c:v>
                </c:pt>
                <c:pt idx="363">
                  <c:v>0.28953651550881915</c:v>
                </c:pt>
                <c:pt idx="364">
                  <c:v>0.29368227319445683</c:v>
                </c:pt>
                <c:pt idx="365">
                  <c:v>0.31584428902041706</c:v>
                </c:pt>
                <c:pt idx="366">
                  <c:v>0.31093926792796239</c:v>
                </c:pt>
                <c:pt idx="367">
                  <c:v>0.30554620432755114</c:v>
                </c:pt>
                <c:pt idx="368">
                  <c:v>0.30754147277835536</c:v>
                </c:pt>
                <c:pt idx="369">
                  <c:v>0.31467996695092376</c:v>
                </c:pt>
                <c:pt idx="370">
                  <c:v>0.30508614809371665</c:v>
                </c:pt>
                <c:pt idx="371">
                  <c:v>0.31902300238677006</c:v>
                </c:pt>
                <c:pt idx="372">
                  <c:v>0.33268670798535888</c:v>
                </c:pt>
                <c:pt idx="373">
                  <c:v>0.33692702312943279</c:v>
                </c:pt>
                <c:pt idx="374">
                  <c:v>0.34933800872338117</c:v>
                </c:pt>
                <c:pt idx="375">
                  <c:v>0.34468857567867811</c:v>
                </c:pt>
                <c:pt idx="376">
                  <c:v>0.37146568633966948</c:v>
                </c:pt>
                <c:pt idx="377">
                  <c:v>0.36852162653802112</c:v>
                </c:pt>
                <c:pt idx="378">
                  <c:v>0.37735380594296608</c:v>
                </c:pt>
                <c:pt idx="379">
                  <c:v>0.41182782760294812</c:v>
                </c:pt>
                <c:pt idx="380">
                  <c:v>0.43057225560819251</c:v>
                </c:pt>
                <c:pt idx="381">
                  <c:v>0.45734631124656971</c:v>
                </c:pt>
                <c:pt idx="382">
                  <c:v>0.45365408346417735</c:v>
                </c:pt>
                <c:pt idx="383">
                  <c:v>0.35034733336341473</c:v>
                </c:pt>
                <c:pt idx="384">
                  <c:v>0.38714791279848648</c:v>
                </c:pt>
                <c:pt idx="385">
                  <c:v>0.37216184982761502</c:v>
                </c:pt>
                <c:pt idx="386">
                  <c:v>0.38053456956403875</c:v>
                </c:pt>
                <c:pt idx="387">
                  <c:v>0.40035487338553311</c:v>
                </c:pt>
                <c:pt idx="388">
                  <c:v>0.44595319612549333</c:v>
                </c:pt>
                <c:pt idx="389">
                  <c:v>0.47984872917275206</c:v>
                </c:pt>
                <c:pt idx="390">
                  <c:v>0.53821384859294197</c:v>
                </c:pt>
                <c:pt idx="391">
                  <c:v>0.57613826146697178</c:v>
                </c:pt>
                <c:pt idx="392">
                  <c:v>0.58519025330011576</c:v>
                </c:pt>
                <c:pt idx="393">
                  <c:v>0.66053194024732242</c:v>
                </c:pt>
                <c:pt idx="394">
                  <c:v>0.6365684144524103</c:v>
                </c:pt>
                <c:pt idx="395">
                  <c:v>0.60271140321976324</c:v>
                </c:pt>
                <c:pt idx="396">
                  <c:v>0.53519821742772378</c:v>
                </c:pt>
                <c:pt idx="397">
                  <c:v>0.53519821742772378</c:v>
                </c:pt>
                <c:pt idx="398">
                  <c:v>0.53519821742772378</c:v>
                </c:pt>
                <c:pt idx="399">
                  <c:v>0.53519821742771767</c:v>
                </c:pt>
                <c:pt idx="400">
                  <c:v>0.53519821742771767</c:v>
                </c:pt>
                <c:pt idx="401">
                  <c:v>0.53519821742771767</c:v>
                </c:pt>
                <c:pt idx="402">
                  <c:v>0.53519821742771767</c:v>
                </c:pt>
                <c:pt idx="403">
                  <c:v>0.53519821742771767</c:v>
                </c:pt>
                <c:pt idx="404">
                  <c:v>0.53519821742771767</c:v>
                </c:pt>
                <c:pt idx="405">
                  <c:v>0.53519821742771767</c:v>
                </c:pt>
                <c:pt idx="406">
                  <c:v>0.53519821742771767</c:v>
                </c:pt>
                <c:pt idx="407">
                  <c:v>0.53519821742771767</c:v>
                </c:pt>
                <c:pt idx="408">
                  <c:v>0.53519821742771767</c:v>
                </c:pt>
                <c:pt idx="409">
                  <c:v>0.54563464029396513</c:v>
                </c:pt>
                <c:pt idx="410">
                  <c:v>0.52534239160627594</c:v>
                </c:pt>
                <c:pt idx="411">
                  <c:v>0.53887055739806866</c:v>
                </c:pt>
                <c:pt idx="412">
                  <c:v>0.50775577607694533</c:v>
                </c:pt>
                <c:pt idx="413">
                  <c:v>0.47095439047651816</c:v>
                </c:pt>
                <c:pt idx="414">
                  <c:v>0.46395157524311942</c:v>
                </c:pt>
                <c:pt idx="415">
                  <c:v>0.46110883228555033</c:v>
                </c:pt>
                <c:pt idx="416">
                  <c:v>0.45652370110071278</c:v>
                </c:pt>
                <c:pt idx="417">
                  <c:v>0.45652370110071278</c:v>
                </c:pt>
                <c:pt idx="418">
                  <c:v>0.45652370110071278</c:v>
                </c:pt>
                <c:pt idx="419">
                  <c:v>0.45652370110071278</c:v>
                </c:pt>
                <c:pt idx="420">
                  <c:v>0.45652370110071278</c:v>
                </c:pt>
                <c:pt idx="421">
                  <c:v>0.45652370110071278</c:v>
                </c:pt>
                <c:pt idx="422">
                  <c:v>0.45652370110071278</c:v>
                </c:pt>
                <c:pt idx="423">
                  <c:v>0.45652370110071278</c:v>
                </c:pt>
                <c:pt idx="424">
                  <c:v>0.45652370110071278</c:v>
                </c:pt>
                <c:pt idx="425">
                  <c:v>0.45652370110071278</c:v>
                </c:pt>
                <c:pt idx="426">
                  <c:v>0.45652370110071278</c:v>
                </c:pt>
                <c:pt idx="427">
                  <c:v>0.45652370110071278</c:v>
                </c:pt>
                <c:pt idx="428">
                  <c:v>0.45652370110071278</c:v>
                </c:pt>
                <c:pt idx="429">
                  <c:v>0.44499637840776973</c:v>
                </c:pt>
                <c:pt idx="430">
                  <c:v>0.4495447671398804</c:v>
                </c:pt>
                <c:pt idx="431">
                  <c:v>0.45068186432290824</c:v>
                </c:pt>
                <c:pt idx="432">
                  <c:v>0.44667395443013741</c:v>
                </c:pt>
                <c:pt idx="433">
                  <c:v>0.43747893591666387</c:v>
                </c:pt>
                <c:pt idx="434">
                  <c:v>0.43488248115486761</c:v>
                </c:pt>
                <c:pt idx="435">
                  <c:v>0.43488248115486761</c:v>
                </c:pt>
                <c:pt idx="436">
                  <c:v>0.43147650672334759</c:v>
                </c:pt>
                <c:pt idx="437">
                  <c:v>0.43147650672334759</c:v>
                </c:pt>
                <c:pt idx="438">
                  <c:v>0.43147650672334759</c:v>
                </c:pt>
                <c:pt idx="439">
                  <c:v>0.43147650672334759</c:v>
                </c:pt>
                <c:pt idx="440">
                  <c:v>0.43147650672334759</c:v>
                </c:pt>
                <c:pt idx="441">
                  <c:v>0.43147650672334759</c:v>
                </c:pt>
                <c:pt idx="442">
                  <c:v>0.43147650672334759</c:v>
                </c:pt>
                <c:pt idx="443">
                  <c:v>0.43179706167986975</c:v>
                </c:pt>
                <c:pt idx="444">
                  <c:v>0.43179706167986975</c:v>
                </c:pt>
                <c:pt idx="445">
                  <c:v>0.43179706167986975</c:v>
                </c:pt>
                <c:pt idx="446">
                  <c:v>0.43179706167986975</c:v>
                </c:pt>
                <c:pt idx="447">
                  <c:v>0.42887461820441408</c:v>
                </c:pt>
                <c:pt idx="448">
                  <c:v>0.42982185424590669</c:v>
                </c:pt>
                <c:pt idx="449">
                  <c:v>0.4219074401172106</c:v>
                </c:pt>
                <c:pt idx="450">
                  <c:v>0.42747123396609676</c:v>
                </c:pt>
                <c:pt idx="451">
                  <c:v>0.43255556824322705</c:v>
                </c:pt>
                <c:pt idx="452">
                  <c:v>0.47475352251329656</c:v>
                </c:pt>
                <c:pt idx="453">
                  <c:v>0.50384975535229115</c:v>
                </c:pt>
                <c:pt idx="454">
                  <c:v>0.50772771738030109</c:v>
                </c:pt>
                <c:pt idx="455">
                  <c:v>0.50196861208452292</c:v>
                </c:pt>
                <c:pt idx="456">
                  <c:v>0.49370069246087855</c:v>
                </c:pt>
                <c:pt idx="457">
                  <c:v>0.49592487456128026</c:v>
                </c:pt>
                <c:pt idx="458">
                  <c:v>0.47420570347896451</c:v>
                </c:pt>
                <c:pt idx="459">
                  <c:v>0.49296401136345569</c:v>
                </c:pt>
                <c:pt idx="460">
                  <c:v>0.48438610968352031</c:v>
                </c:pt>
                <c:pt idx="461">
                  <c:v>0.45706325383395913</c:v>
                </c:pt>
                <c:pt idx="462">
                  <c:v>0.44821872777154492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1B-4506-BE57-6F79EBAFB1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4794896"/>
        <c:axId val="845453112"/>
      </c:lineChart>
      <c:dateAx>
        <c:axId val="96479489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45453112"/>
        <c:crosses val="autoZero"/>
        <c:auto val="1"/>
        <c:lblOffset val="100"/>
        <c:baseTimeUnit val="days"/>
      </c:dateAx>
      <c:valAx>
        <c:axId val="845453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647948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306704</xdr:colOff>
      <xdr:row>0</xdr:row>
      <xdr:rowOff>152400</xdr:rowOff>
    </xdr:from>
    <xdr:to>
      <xdr:col>14</xdr:col>
      <xdr:colOff>232409</xdr:colOff>
      <xdr:row>23</xdr:row>
      <xdr:rowOff>53340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CD8BE8EC-F192-461D-ADAB-37EFDD375F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179070</xdr:colOff>
      <xdr:row>3</xdr:row>
      <xdr:rowOff>68580</xdr:rowOff>
    </xdr:from>
    <xdr:to>
      <xdr:col>9</xdr:col>
      <xdr:colOff>45720</xdr:colOff>
      <xdr:row>24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净值日期">
              <a:extLst>
                <a:ext uri="{FF2B5EF4-FFF2-40B4-BE49-F238E27FC236}">
                  <a16:creationId xmlns:a16="http://schemas.microsoft.com/office/drawing/2014/main" id="{AAD8E230-4459-4693-A198-F703784B163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净值日期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533900" y="605790"/>
              <a:ext cx="2548890" cy="36957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CN" altLang="en-US" sz="1100"/>
                <a:t>此形状代表切片器。Excel 2010 或更高版本支持切片器。
如果形状是在较早版本的 Excel 中修改，或者工作簿是在 Excel 2003 或更早版本中保存，则无法使用切片器。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394334</xdr:colOff>
      <xdr:row>6</xdr:row>
      <xdr:rowOff>83820</xdr:rowOff>
    </xdr:from>
    <xdr:to>
      <xdr:col>14</xdr:col>
      <xdr:colOff>594359</xdr:colOff>
      <xdr:row>25</xdr:row>
      <xdr:rowOff>133350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C2CD7ABF-1B55-41A9-93FA-8E2069B15E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作者" refreshedDate="44200.517039120372" createdVersion="6" refreshedVersion="6" minRefreshableVersion="3" recordCount="513" xr:uid="{D793CAED-27E1-4119-8B9D-E8A9F4958F52}">
  <cacheSource type="worksheet">
    <worksheetSource ref="A1:F1048576" sheet="净值记录"/>
  </cacheSource>
  <cacheFields count="7">
    <cacheField name="净值日期" numFmtId="0">
      <sharedItems containsNonDate="0" containsDate="1" containsString="0" containsBlank="1" minDate="2018-11-27T00:00:00" maxDate="2021-01-01T00:00:00" count="512">
        <d v="2018-11-27T00:00:00"/>
        <d v="2018-11-28T00:00:00"/>
        <d v="2018-11-29T00:00:00"/>
        <d v="2018-11-30T00:00:00"/>
        <d v="2018-12-03T00:00:00"/>
        <d v="2018-12-04T00:00:00"/>
        <d v="2018-12-05T00:00:00"/>
        <d v="2018-12-06T00:00:00"/>
        <d v="2018-12-07T00:00:00"/>
        <d v="2018-12-10T00:00:00"/>
        <d v="2018-12-11T00:00:00"/>
        <d v="2018-12-12T00:00:00"/>
        <d v="2018-12-13T00:00:00"/>
        <d v="2018-12-14T00:00:00"/>
        <d v="2018-12-17T00:00:00"/>
        <d v="2018-12-18T00:00:00"/>
        <d v="2018-12-19T00:00:00"/>
        <d v="2018-12-20T00:00:00"/>
        <d v="2018-12-21T00:00:00"/>
        <d v="2018-12-24T00:00:00"/>
        <d v="2018-12-25T00:00:00"/>
        <d v="2018-12-26T00:00:00"/>
        <d v="2018-12-27T00:00:00"/>
        <d v="2018-12-28T00:00:00"/>
        <d v="2019-01-02T00:00:00"/>
        <d v="2019-01-03T00:00:00"/>
        <d v="2019-01-04T00:00:00"/>
        <d v="2019-01-07T00:00:00"/>
        <d v="2019-01-08T00:00:00"/>
        <d v="2019-01-09T00:00:00"/>
        <d v="2019-01-10T00:00:00"/>
        <d v="2019-01-11T00:00:00"/>
        <d v="2019-01-14T00:00:00"/>
        <d v="2019-01-15T00:00:00"/>
        <d v="2019-01-16T00:00:00"/>
        <d v="2019-01-17T00:00:00"/>
        <d v="2019-01-18T00:00:00"/>
        <d v="2019-01-21T00:00:00"/>
        <d v="2019-01-22T00:00:00"/>
        <d v="2019-01-23T00:00:00"/>
        <d v="2019-01-24T00:00:00"/>
        <d v="2019-01-25T00:00:00"/>
        <d v="2019-01-28T00:00:00"/>
        <d v="2019-01-29T00:00:00"/>
        <d v="2019-01-30T00:00:00"/>
        <d v="2019-01-31T00:00:00"/>
        <d v="2019-02-01T00:00:00"/>
        <d v="2019-02-11T00:00:00"/>
        <d v="2019-02-12T00:00:00"/>
        <d v="2019-02-13T00:00:00"/>
        <d v="2019-02-14T00:00:00"/>
        <d v="2019-02-15T00:00:00"/>
        <d v="2019-02-18T00:00:00"/>
        <d v="2019-02-19T00:00:00"/>
        <d v="2019-02-20T00:00:00"/>
        <d v="2019-02-21T00:00:00"/>
        <d v="2019-02-22T00:00:00"/>
        <d v="2019-02-25T00:00:00"/>
        <d v="2019-02-26T00:00:00"/>
        <d v="2019-02-27T00:00:00"/>
        <d v="2019-02-28T00:00:00"/>
        <d v="2019-03-01T00:00:00"/>
        <d v="2019-03-04T00:00:00"/>
        <d v="2019-03-05T00:00:00"/>
        <d v="2019-03-06T00:00:00"/>
        <d v="2019-03-07T00:00:00"/>
        <d v="2019-03-08T00:00:00"/>
        <d v="2019-03-11T00:00:00"/>
        <d v="2019-03-12T00:00:00"/>
        <d v="2019-03-13T00:00:00"/>
        <d v="2019-03-14T00:00:00"/>
        <d v="2019-03-15T00:00:00"/>
        <d v="2019-03-18T00:00:00"/>
        <d v="2019-03-19T00:00:00"/>
        <d v="2019-03-20T00:00:00"/>
        <d v="2019-03-21T00:00:00"/>
        <d v="2019-03-22T00:00:00"/>
        <d v="2019-03-25T00:00:00"/>
        <d v="2019-03-26T00:00:00"/>
        <d v="2019-03-27T00:00:00"/>
        <d v="2019-03-28T00:00:00"/>
        <d v="2019-03-29T00:00:00"/>
        <d v="2019-04-01T00:00:00"/>
        <d v="2019-04-02T00:00:00"/>
        <d v="2019-04-03T00:00:00"/>
        <d v="2019-04-04T00:00:00"/>
        <d v="2019-04-08T00:00:00"/>
        <d v="2019-04-09T00:00:00"/>
        <d v="2019-04-10T00:00:00"/>
        <d v="2019-04-11T00:00:00"/>
        <d v="2019-04-12T00:00:00"/>
        <d v="2019-04-15T00:00:00"/>
        <d v="2019-04-16T00:00:00"/>
        <d v="2019-04-17T00:00:00"/>
        <d v="2019-04-18T00:00:00"/>
        <d v="2019-04-19T00:00:00"/>
        <d v="2019-04-22T00:00:00"/>
        <d v="2019-04-23T00:00:00"/>
        <d v="2019-04-24T00:00:00"/>
        <d v="2019-04-25T00:00:00"/>
        <d v="2019-04-26T00:00:00"/>
        <d v="2019-04-29T00:00:00"/>
        <d v="2019-04-30T00:00:00"/>
        <d v="2019-05-06T00:00:00"/>
        <d v="2019-05-07T00:00:00"/>
        <d v="2019-05-08T00:00:00"/>
        <d v="2019-05-09T00:00:00"/>
        <d v="2019-05-10T00:00:00"/>
        <d v="2019-05-13T00:00:00"/>
        <d v="2019-05-14T00:00:00"/>
        <d v="2019-05-15T00:00:00"/>
        <d v="2019-05-16T00:00:00"/>
        <d v="2019-05-17T00:00:00"/>
        <d v="2019-05-20T00:00:00"/>
        <d v="2019-05-21T00:00:00"/>
        <d v="2019-05-22T00:00:00"/>
        <d v="2019-05-23T00:00:00"/>
        <d v="2019-05-24T00:00:00"/>
        <d v="2019-05-27T00:00:00"/>
        <d v="2019-05-28T00:00:00"/>
        <d v="2019-05-29T00:00:00"/>
        <d v="2019-05-30T00:00:00"/>
        <d v="2019-05-31T00:00:00"/>
        <d v="2019-06-03T00:00:00"/>
        <d v="2019-06-04T00:00:00"/>
        <d v="2019-06-05T00:00:00"/>
        <d v="2019-06-06T00:00:00"/>
        <d v="2019-06-10T00:00:00"/>
        <d v="2019-06-11T00:00:00"/>
        <d v="2019-06-12T00:00:00"/>
        <d v="2019-06-13T00:00:00"/>
        <d v="2019-06-14T00:00:00"/>
        <d v="2019-06-17T00:00:00"/>
        <d v="2019-06-18T00:00:00"/>
        <d v="2019-06-19T00:00:00"/>
        <d v="2019-06-20T00:00:00"/>
        <d v="2019-06-21T00:00:00"/>
        <d v="2019-06-24T00:00:00"/>
        <d v="2019-06-25T00:00:00"/>
        <d v="2019-06-26T00:00:00"/>
        <d v="2019-06-27T00:00:00"/>
        <d v="2019-06-28T00:00:00"/>
        <d v="2019-07-01T00:00:00"/>
        <d v="2019-07-02T00:00:00"/>
        <d v="2019-07-03T00:00:00"/>
        <d v="2019-07-04T00:00:00"/>
        <d v="2019-07-05T00:00:00"/>
        <d v="2019-07-08T00:00:00"/>
        <d v="2019-07-09T00:00:00"/>
        <d v="2019-07-10T00:00:00"/>
        <d v="2019-07-11T00:00:00"/>
        <d v="2019-07-12T00:00:00"/>
        <d v="2019-07-15T00:00:00"/>
        <d v="2019-07-16T00:00:00"/>
        <d v="2019-07-17T00:00:00"/>
        <d v="2019-07-18T00:00:00"/>
        <d v="2019-07-19T00:00:00"/>
        <d v="2019-07-22T00:00:00"/>
        <d v="2019-07-23T00:00:00"/>
        <d v="2019-07-24T00:00:00"/>
        <d v="2019-07-25T00:00:00"/>
        <d v="2019-07-26T00:00:00"/>
        <d v="2019-07-29T00:00:00"/>
        <d v="2019-07-30T00:00:00"/>
        <d v="2019-07-31T00:00:00"/>
        <d v="2019-08-01T00:00:00"/>
        <d v="2019-08-02T00:00:00"/>
        <d v="2019-08-05T00:00:00"/>
        <d v="2019-08-06T00:00:00"/>
        <d v="2019-08-07T00:00:00"/>
        <d v="2019-08-08T00:00:00"/>
        <d v="2019-08-09T00:00:00"/>
        <d v="2019-08-12T00:00:00"/>
        <d v="2019-08-13T00:00:00"/>
        <d v="2019-08-14T00:00:00"/>
        <d v="2019-08-15T00:00:00"/>
        <d v="2019-08-16T00:00:00"/>
        <d v="2019-08-19T00:00:00"/>
        <d v="2019-08-20T00:00:00"/>
        <d v="2019-08-21T00:00:00"/>
        <d v="2019-08-22T00:00:00"/>
        <d v="2019-08-23T00:00:00"/>
        <d v="2019-08-26T00:00:00"/>
        <d v="2019-08-27T00:00:00"/>
        <d v="2019-08-28T00:00:00"/>
        <d v="2019-08-29T00:00:00"/>
        <d v="2019-08-30T00:00:00"/>
        <d v="2019-09-02T00:00:00"/>
        <d v="2019-09-03T00:00:00"/>
        <d v="2019-09-04T00:00:00"/>
        <d v="2019-09-05T00:00:00"/>
        <d v="2019-09-06T00:00:00"/>
        <d v="2019-09-09T00:00:00"/>
        <d v="2019-09-10T00:00:00"/>
        <d v="2019-09-11T00:00:00"/>
        <d v="2019-09-12T00:00:00"/>
        <d v="2019-09-16T00:00:00"/>
        <d v="2019-09-17T00:00:00"/>
        <d v="2019-09-18T00:00:00"/>
        <d v="2019-09-19T00:00:00"/>
        <d v="2019-09-20T00:00:00"/>
        <d v="2019-09-23T00:00:00"/>
        <d v="2019-09-24T00:00:00"/>
        <d v="2019-09-25T00:00:00"/>
        <d v="2019-09-26T00:00:00"/>
        <d v="2019-09-27T00:00:00"/>
        <d v="2019-09-30T00:00:00"/>
        <d v="2019-10-08T00:00:00"/>
        <d v="2019-10-09T00:00:00"/>
        <d v="2019-10-10T00:00:00"/>
        <d v="2019-10-11T00:00:00"/>
        <d v="2019-10-14T00:00:00"/>
        <d v="2019-10-15T00:00:00"/>
        <d v="2019-10-16T00:00:00"/>
        <d v="2019-10-17T00:00:00"/>
        <d v="2019-10-18T00:00:00"/>
        <d v="2019-10-21T00:00:00"/>
        <d v="2019-10-22T00:00:00"/>
        <d v="2019-10-23T00:00:00"/>
        <d v="2019-10-24T00:00:00"/>
        <d v="2019-10-25T00:00:00"/>
        <d v="2019-10-28T00:00:00"/>
        <d v="2019-10-29T00:00:00"/>
        <d v="2019-10-30T00:00:00"/>
        <d v="2019-10-31T00:00:00"/>
        <d v="2019-11-01T00:00:00"/>
        <d v="2019-11-04T00:00:00"/>
        <d v="2019-11-05T00:00:00"/>
        <d v="2019-11-06T00:00:00"/>
        <d v="2019-11-07T00:00:00"/>
        <d v="2019-11-08T00:00:00"/>
        <d v="2019-11-11T00:00:00"/>
        <d v="2019-11-12T00:00:00"/>
        <d v="2019-11-13T00:00:00"/>
        <d v="2019-11-14T00:00:00"/>
        <d v="2019-11-15T00:00:00"/>
        <d v="2019-11-18T00:00:00"/>
        <d v="2019-11-19T00:00:00"/>
        <d v="2019-11-20T00:00:00"/>
        <d v="2019-11-21T00:00:00"/>
        <d v="2019-11-22T00:00:00"/>
        <d v="2019-11-25T00:00:00"/>
        <d v="2019-11-26T00:00:00"/>
        <d v="2019-11-27T00:00:00"/>
        <d v="2019-11-28T00:00:00"/>
        <d v="2019-11-29T00:00:00"/>
        <d v="2019-12-02T00:00:00"/>
        <d v="2019-12-03T00:00:00"/>
        <d v="2019-12-04T00:00:00"/>
        <d v="2019-12-05T00:00:00"/>
        <d v="2019-12-06T00:00:00"/>
        <d v="2019-12-09T00:00:00"/>
        <d v="2019-12-10T00:00:00"/>
        <d v="2019-12-11T00:00:00"/>
        <d v="2019-12-12T00:00:00"/>
        <d v="2019-12-13T00:00:00"/>
        <d v="2019-12-16T00:00:00"/>
        <d v="2019-12-17T00:00:00"/>
        <d v="2019-12-18T00:00:00"/>
        <d v="2019-12-19T00:00:00"/>
        <d v="2019-12-20T00:00:00"/>
        <d v="2019-12-23T00:00:00"/>
        <d v="2019-12-24T00:00:00"/>
        <d v="2019-12-25T00:00:00"/>
        <d v="2019-12-26T00:00:00"/>
        <d v="2019-12-27T00:00:00"/>
        <d v="2019-12-30T00:00:00"/>
        <d v="2019-12-31T00:00:00"/>
        <d v="2020-01-02T00:00:00"/>
        <d v="2020-01-03T00:00:00"/>
        <d v="2020-01-06T00:00:00"/>
        <d v="2020-01-07T00:00:00"/>
        <d v="2020-01-08T00:00:00"/>
        <d v="2020-01-09T00:00:00"/>
        <d v="2020-01-10T00:00:00"/>
        <d v="2020-01-13T00:00:00"/>
        <d v="2020-01-14T00:00:00"/>
        <d v="2020-01-15T00:00:00"/>
        <d v="2020-01-16T00:00:00"/>
        <d v="2020-01-17T00:00:00"/>
        <d v="2020-01-20T00:00:00"/>
        <d v="2020-01-21T00:00:00"/>
        <d v="2020-01-22T00:00:00"/>
        <d v="2020-01-23T00:00:00"/>
        <d v="2020-02-03T00:00:00"/>
        <d v="2020-02-04T00:00:00"/>
        <d v="2020-02-05T00:00:00"/>
        <d v="2020-02-06T00:00:00"/>
        <d v="2020-02-07T00:00:00"/>
        <d v="2020-02-10T00:00:00"/>
        <d v="2020-02-11T00:00:00"/>
        <d v="2020-02-12T00:00:00"/>
        <d v="2020-02-13T00:00:00"/>
        <d v="2020-02-14T00:00:00"/>
        <d v="2020-02-17T00:00:00"/>
        <d v="2020-02-18T00:00:00"/>
        <d v="2020-02-19T00:00:00"/>
        <d v="2020-02-20T00:00:00"/>
        <d v="2020-02-21T00:00:00"/>
        <d v="2020-02-24T00:00:00"/>
        <d v="2020-02-25T00:00:00"/>
        <d v="2020-02-26T00:00:00"/>
        <d v="2020-02-27T00:00:00"/>
        <d v="2020-02-28T00:00:00"/>
        <d v="2020-03-02T00:00:00"/>
        <d v="2020-03-03T00:00:00"/>
        <d v="2020-03-04T00:00:00"/>
        <d v="2020-03-05T00:00:00"/>
        <d v="2020-03-06T00:00:00"/>
        <d v="2020-03-09T00:00:00"/>
        <d v="2020-03-10T00:00:00"/>
        <d v="2020-03-11T00:00:00"/>
        <d v="2020-03-12T00:00:00"/>
        <d v="2020-03-13T00:00:00"/>
        <d v="2020-03-16T00:00:00"/>
        <d v="2020-03-17T00:00:00"/>
        <d v="2020-03-18T00:00:00"/>
        <d v="2020-03-19T00:00:00"/>
        <d v="2020-03-20T00:00:00"/>
        <d v="2020-03-23T00:00:00"/>
        <d v="2020-03-24T00:00:00"/>
        <d v="2020-03-25T00:00:00"/>
        <d v="2020-03-26T00:00:00"/>
        <d v="2020-03-27T00:00:00"/>
        <d v="2020-03-30T00:00:00"/>
        <d v="2020-03-31T00:00:00"/>
        <d v="2020-04-01T00:00:00"/>
        <d v="2020-04-02T00:00:00"/>
        <d v="2020-04-03T00:00:00"/>
        <d v="2020-04-07T00:00:00"/>
        <d v="2020-04-08T00:00:00"/>
        <d v="2020-04-09T00:00:00"/>
        <d v="2020-04-10T00:00:00"/>
        <d v="2020-04-13T00:00:00"/>
        <d v="2020-04-14T00:00:00"/>
        <d v="2020-04-15T00:00:00"/>
        <d v="2020-04-16T00:00:00"/>
        <d v="2020-04-17T00:00:00"/>
        <d v="2020-04-20T00:00:00"/>
        <d v="2020-04-21T00:00:00"/>
        <d v="2020-04-22T00:00:00"/>
        <d v="2020-04-23T00:00:00"/>
        <d v="2020-04-24T00:00:00"/>
        <d v="2020-04-27T00:00:00"/>
        <d v="2020-04-28T00:00:00"/>
        <d v="2020-04-29T00:00:00"/>
        <d v="2020-04-30T00:00:00"/>
        <d v="2020-05-06T00:00:00"/>
        <d v="2020-05-07T00:00:00"/>
        <d v="2020-05-08T00:00:00"/>
        <d v="2020-05-11T00:00:00"/>
        <d v="2020-05-12T00:00:00"/>
        <d v="2020-05-13T00:00:00"/>
        <d v="2020-05-14T00:00:00"/>
        <d v="2020-05-15T00:00:00"/>
        <d v="2020-05-18T00:00:00"/>
        <d v="2020-05-19T00:00:00"/>
        <d v="2020-05-20T00:00:00"/>
        <d v="2020-05-21T00:00:00"/>
        <d v="2020-05-22T00:00:00"/>
        <d v="2020-05-25T00:00:00"/>
        <d v="2020-05-26T00:00:00"/>
        <d v="2020-05-27T00:00:00"/>
        <d v="2020-05-28T00:00:00"/>
        <d v="2020-05-29T00:00:00"/>
        <d v="2020-06-01T00:00:00"/>
        <d v="2020-06-02T00:00:00"/>
        <d v="2020-06-03T00:00:00"/>
        <d v="2020-06-04T00:00:00"/>
        <d v="2020-06-05T00:00:00"/>
        <d v="2020-06-08T00:00:00"/>
        <d v="2020-06-09T00:00:00"/>
        <d v="2020-06-10T00:00:00"/>
        <d v="2020-06-11T00:00:00"/>
        <d v="2020-06-12T00:00:00"/>
        <d v="2020-06-15T00:00:00"/>
        <d v="2020-06-16T00:00:00"/>
        <d v="2020-06-17T00:00:00"/>
        <d v="2020-06-18T00:00:00"/>
        <d v="2020-06-19T00:00:00"/>
        <d v="2020-06-22T00:00:00"/>
        <d v="2020-06-23T00:00:00"/>
        <d v="2020-06-24T00:00:00"/>
        <d v="2020-06-29T00:00:00"/>
        <d v="2020-06-30T00:00:00"/>
        <d v="2020-07-01T00:00:00"/>
        <d v="2020-07-02T00:00:00"/>
        <d v="2020-07-03T00:00:00"/>
        <d v="2020-07-06T00:00:00"/>
        <d v="2020-07-07T00:00:00"/>
        <d v="2020-07-08T00:00:00"/>
        <d v="2020-07-09T00:00:00"/>
        <d v="2020-07-10T00:00:00"/>
        <d v="2020-07-13T00:00:00"/>
        <d v="2020-07-14T00:00:00"/>
        <d v="2020-07-15T00:00:00"/>
        <d v="2020-07-16T00:00:00"/>
        <d v="2020-07-17T00:00:00"/>
        <d v="2020-07-20T00:00:00"/>
        <d v="2020-07-21T00:00:00"/>
        <d v="2020-07-22T00:00:00"/>
        <d v="2020-07-23T00:00:00"/>
        <d v="2020-07-24T00:00:00"/>
        <d v="2020-07-27T00:00:00"/>
        <d v="2020-07-28T00:00:00"/>
        <d v="2020-07-29T00:00:00"/>
        <d v="2020-07-30T00:00:00"/>
        <d v="2020-07-31T00:00:00"/>
        <d v="2020-08-03T00:00:00"/>
        <d v="2020-08-04T00:00:00"/>
        <d v="2020-08-05T00:00:00"/>
        <d v="2020-08-06T00:00:00"/>
        <d v="2020-08-07T00:00:00"/>
        <d v="2020-08-10T00:00:00"/>
        <d v="2020-08-11T00:00:00"/>
        <d v="2020-08-12T00:00:00"/>
        <d v="2020-08-13T00:00:00"/>
        <d v="2020-08-14T00:00:00"/>
        <d v="2020-08-17T00:00:00"/>
        <d v="2020-08-18T00:00:00"/>
        <d v="2020-08-19T00:00:00"/>
        <d v="2020-08-20T00:00:00"/>
        <d v="2020-08-21T00:00:00"/>
        <d v="2020-08-24T00:00:00"/>
        <d v="2020-08-25T00:00:00"/>
        <d v="2020-08-26T00:00:00"/>
        <d v="2020-08-27T00:00:00"/>
        <d v="2020-08-28T00:00:00"/>
        <d v="2020-08-31T00:00:00"/>
        <d v="2020-09-01T00:00:00"/>
        <d v="2020-09-02T00:00:00"/>
        <d v="2020-09-03T00:00:00"/>
        <d v="2020-09-04T00:00:00"/>
        <d v="2020-09-07T00:00:00"/>
        <d v="2020-09-08T00:00:00"/>
        <d v="2020-09-09T00:00:00"/>
        <d v="2020-09-10T00:00:00"/>
        <d v="2020-09-11T00:00:00"/>
        <d v="2020-09-14T00:00:00"/>
        <d v="2020-09-15T00:00:00"/>
        <d v="2020-09-16T00:00:00"/>
        <d v="2020-09-17T00:00:00"/>
        <d v="2020-09-18T00:00:00"/>
        <d v="2020-09-21T00:00:00"/>
        <d v="2020-09-22T00:00:00"/>
        <d v="2020-09-23T00:00:00"/>
        <d v="2020-09-24T00:00:00"/>
        <d v="2020-09-25T00:00:00"/>
        <d v="2020-09-28T00:00:00"/>
        <d v="2020-09-29T00:00:00"/>
        <d v="2020-09-30T00:00:00"/>
        <d v="2020-10-09T00:00:00"/>
        <d v="2020-10-12T00:00:00"/>
        <d v="2020-10-13T00:00:00"/>
        <d v="2020-10-14T00:00:00"/>
        <d v="2020-10-15T00:00:00"/>
        <d v="2020-10-16T00:00:00"/>
        <d v="2020-10-19T00:00:00"/>
        <d v="2020-10-20T00:00:00"/>
        <d v="2020-10-21T00:00:00"/>
        <d v="2020-10-22T00:00:00"/>
        <d v="2020-10-23T00:00:00"/>
        <d v="2020-10-26T00:00:00"/>
        <d v="2020-10-27T00:00:00"/>
        <d v="2020-10-28T00:00:00"/>
        <d v="2020-10-29T00:00:00"/>
        <d v="2020-10-30T00:00:00"/>
        <d v="2020-11-02T00:00:00"/>
        <d v="2020-11-03T00:00:00"/>
        <d v="2020-11-04T00:00:00"/>
        <d v="2020-11-05T00:00:00"/>
        <d v="2020-11-06T00:00:00"/>
        <d v="2020-11-09T00:00:00"/>
        <d v="2020-11-10T00:00:00"/>
        <d v="2020-11-11T00:00:00"/>
        <d v="2020-11-12T00:00:00"/>
        <d v="2020-11-13T00:00:00"/>
        <d v="2020-11-16T00:00:00"/>
        <d v="2020-11-17T00:00:00"/>
        <d v="2020-11-18T00:00:00"/>
        <d v="2020-11-19T00:00:00"/>
        <d v="2020-11-20T00:00:00"/>
        <d v="2020-11-23T00:00:00"/>
        <d v="2020-11-24T00:00:00"/>
        <d v="2020-11-25T00:00:00"/>
        <d v="2020-11-26T00:00:00"/>
        <d v="2020-11-27T00:00:00"/>
        <d v="2020-11-30T00:00:00"/>
        <d v="2020-12-01T00:00:00"/>
        <d v="2020-12-02T00:00:00"/>
        <d v="2020-12-03T00:00:00"/>
        <d v="2020-12-04T00:00:00"/>
        <d v="2020-12-07T00:00:00"/>
        <d v="2020-12-08T00:00:00"/>
        <d v="2020-12-09T00:00:00"/>
        <d v="2020-12-10T00:00:00"/>
        <d v="2020-12-11T00:00:00"/>
        <d v="2020-12-14T00:00:00"/>
        <d v="2020-12-15T00:00:00"/>
        <d v="2020-12-16T00:00:00"/>
        <d v="2020-12-17T00:00:00"/>
        <d v="2020-12-18T00:00:00"/>
        <d v="2020-12-21T00:00:00"/>
        <d v="2020-12-22T00:00:00"/>
        <d v="2020-12-23T00:00:00"/>
        <d v="2020-12-24T00:00:00"/>
        <d v="2020-12-25T00:00:00"/>
        <d v="2020-12-28T00:00:00"/>
        <d v="2020-12-29T00:00:00"/>
        <d v="2020-12-30T00:00:00"/>
        <d v="2020-12-31T00:00:00"/>
        <m/>
      </sharedItems>
    </cacheField>
    <cacheField name="总份额" numFmtId="0">
      <sharedItems containsString="0" containsBlank="1" containsNumber="1" minValue="37980.533035444794" maxValue="234466.18331517366"/>
    </cacheField>
    <cacheField name="基金净值" numFmtId="177">
      <sharedItems containsString="0" containsBlank="1" containsNumber="1" minValue="0.75417776413612547" maxValue="1.6997234314325376"/>
    </cacheField>
    <cacheField name="基金总金额" numFmtId="176">
      <sharedItems containsString="0" containsBlank="1" containsNumber="1" minValue="28644.073485370005" maxValue="398527.66565935739"/>
    </cacheField>
    <cacheField name="原始金额" numFmtId="0">
      <sharedItems containsString="0" containsBlank="1" containsNumber="1" containsInteger="1" minValue="30000" maxValue="240000"/>
    </cacheField>
    <cacheField name="盈亏" numFmtId="10">
      <sharedItems containsString="0" containsBlank="1" containsNumber="1" minValue="-4.51975504876665E-2" maxValue="0.68657258898201623"/>
    </cacheField>
    <cacheField name="盈利金额" numFmtId="0" formula="基金总金额-原始金额" databaseField="0"/>
  </cacheFields>
  <extLst>
    <ext xmlns:x14="http://schemas.microsoft.com/office/spreadsheetml/2009/9/main" uri="{725AE2AE-9491-48be-B2B4-4EB974FC3084}">
      <x14:pivotCacheDefinition pivotCacheId="205981345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3">
  <r>
    <x v="0"/>
    <n v="37980.533035444794"/>
    <n v="0.79097449557585398"/>
    <n v="30041.632959413004"/>
    <n v="30000"/>
    <n v="1.3877653137667949E-3"/>
  </r>
  <r>
    <x v="1"/>
    <n v="37980.533035444794"/>
    <n v="0.79955230544798006"/>
    <n v="30367.422750633054"/>
    <n v="30000"/>
    <n v="1.2247425021101785E-2"/>
  </r>
  <r>
    <x v="2"/>
    <n v="37980.533035444794"/>
    <n v="0.79306526747218775"/>
    <n v="30121.041590491288"/>
    <n v="30000"/>
    <n v="4.0347196830429312E-3"/>
  </r>
  <r>
    <x v="3"/>
    <n v="37980.533035444794"/>
    <n v="0.79836044682876917"/>
    <n v="30322.155324972533"/>
    <n v="30000"/>
    <n v="1.0738510832417766E-2"/>
  </r>
  <r>
    <x v="4"/>
    <n v="37980.533035444794"/>
    <n v="0.81486720632933163"/>
    <n v="30949.090849491789"/>
    <n v="30000"/>
    <n v="3.1636361649726316E-2"/>
  </r>
  <r>
    <x v="5"/>
    <n v="37980.533035444794"/>
    <n v="0.81489732220562106"/>
    <n v="30950.234666526092"/>
    <n v="30000"/>
    <n v="3.1674488884203066E-2"/>
  </r>
  <r>
    <x v="6"/>
    <n v="37980.533035444794"/>
    <n v="0.81164324310525959"/>
    <n v="30826.643007754861"/>
    <n v="30000"/>
    <n v="2.7554766925162039E-2"/>
  </r>
  <r>
    <x v="7"/>
    <n v="37980.533035444794"/>
    <n v="0.80023727866886529"/>
    <n v="30393.438398677281"/>
    <n v="30000"/>
    <n v="1.3114613289242698E-2"/>
  </r>
  <r>
    <x v="8"/>
    <n v="37980.533035444794"/>
    <n v="0.7992126870162316"/>
    <n v="30354.523861566584"/>
    <n v="30000"/>
    <n v="1.1817462052219466E-2"/>
  </r>
  <r>
    <x v="9"/>
    <n v="37980.533035444794"/>
    <n v="0.79206831463242566"/>
    <n v="30083.176790225923"/>
    <n v="30000"/>
    <n v="2.7725596741974491E-3"/>
  </r>
  <r>
    <x v="10"/>
    <n v="37980.533035444794"/>
    <n v="0.79505904277995321"/>
    <n v="30196.766239433127"/>
    <n v="30000"/>
    <n v="6.5588746477709117E-3"/>
  </r>
  <r>
    <x v="11"/>
    <n v="37980.533035444794"/>
    <n v="0.79629353296430094"/>
    <n v="30243.65283466168"/>
    <n v="30000"/>
    <n v="8.1217611553893228E-3"/>
  </r>
  <r>
    <x v="12"/>
    <n v="37980.533035444794"/>
    <n v="0.80606906818478519"/>
    <n v="30614.932873042435"/>
    <n v="30000"/>
    <n v="2.0497762434747831E-2"/>
  </r>
  <r>
    <x v="13"/>
    <n v="37980.533035444794"/>
    <n v="0.79585412980700221"/>
    <n v="30226.964068530018"/>
    <n v="30000"/>
    <n v="7.5654689510006087E-3"/>
  </r>
  <r>
    <x v="14"/>
    <n v="37980.533035444794"/>
    <n v="0.7947671424394972"/>
    <n v="30185.679708909382"/>
    <n v="30000"/>
    <n v="6.1893236303127196E-3"/>
  </r>
  <r>
    <x v="15"/>
    <n v="37980.533035444794"/>
    <n v="0.78735308532206105"/>
    <n v="29904.089867633924"/>
    <n v="30000"/>
    <n v="-3.197004412202538E-3"/>
  </r>
  <r>
    <x v="16"/>
    <n v="37980.533035444794"/>
    <n v="0.77966849773498692"/>
    <n v="29612.225134919285"/>
    <n v="30000"/>
    <n v="-1.2925828836023841E-2"/>
  </r>
  <r>
    <x v="17"/>
    <n v="37980.533035444794"/>
    <n v="0.77522762695504466"/>
    <n v="29443.558495555546"/>
    <n v="30000"/>
    <n v="-1.8548050148148469E-2"/>
  </r>
  <r>
    <x v="18"/>
    <n v="37980.533035444794"/>
    <n v="0.76716016726011038"/>
    <n v="29137.152076099977"/>
    <n v="30000"/>
    <n v="-2.8761597463334086E-2"/>
  </r>
  <r>
    <x v="19"/>
    <n v="37980.533035444794"/>
    <n v="0.76927089324732278"/>
    <n v="29217.318574186069"/>
    <n v="30000"/>
    <n v="-2.6089380860464372E-2"/>
  </r>
  <r>
    <x v="20"/>
    <n v="37980.533035444794"/>
    <n v="0.7643755323423076"/>
    <n v="29031.390157612714"/>
    <n v="30000"/>
    <n v="-3.2286994746242879E-2"/>
  </r>
  <r>
    <x v="21"/>
    <n v="37980.533035444794"/>
    <n v="0.7606459393508902"/>
    <n v="28889.738227793423"/>
    <n v="30000"/>
    <n v="-3.7008725740219232E-2"/>
  </r>
  <r>
    <x v="22"/>
    <n v="37980.533035444794"/>
    <n v="0.75952554887229817"/>
    <n v="28847.18520020866"/>
    <n v="30000"/>
    <n v="-3.842715999304467E-2"/>
  </r>
  <r>
    <x v="23"/>
    <n v="37980.533035444794"/>
    <n v="0.76111159826725772"/>
    <n v="28907.42420164977"/>
    <n v="30000"/>
    <n v="-3.6419193278340999E-2"/>
  </r>
  <r>
    <x v="24"/>
    <n v="37980.533035444794"/>
    <n v="0.75417776413612547"/>
    <n v="28644.073485370005"/>
    <n v="30000"/>
    <n v="-4.51975504876665E-2"/>
  </r>
  <r>
    <x v="25"/>
    <n v="117537.37341607724"/>
    <n v="0.75629613105503435"/>
    <n v="88893.060768950061"/>
    <n v="90000"/>
    <n v="-1.2299324789443764E-2"/>
  </r>
  <r>
    <x v="26"/>
    <n v="117537.37341607724"/>
    <n v="0.77130086828196887"/>
    <n v="90656.678171402382"/>
    <n v="90000"/>
    <n v="7.2964241266931318E-3"/>
  </r>
  <r>
    <x v="27"/>
    <n v="117537.37341607724"/>
    <n v="0.7777005253486069"/>
    <n v="91408.877053778648"/>
    <n v="90000"/>
    <n v="1.565418948642942E-2"/>
  </r>
  <r>
    <x v="28"/>
    <n v="117537.37341607724"/>
    <n v="0.77634692750289258"/>
    <n v="91249.778718331727"/>
    <n v="90000"/>
    <n v="1.3886430203685855E-2"/>
  </r>
  <r>
    <x v="29"/>
    <n v="117537.37341607724"/>
    <n v="0.779752057802649"/>
    <n v="91650.008789904605"/>
    <n v="90000"/>
    <n v="1.8333430998940053E-2"/>
  </r>
  <r>
    <x v="30"/>
    <n v="117537.37341607724"/>
    <n v="0.77944244857223999"/>
    <n v="91613.618134176955"/>
    <n v="90000"/>
    <n v="1.7929090379743946E-2"/>
  </r>
  <r>
    <x v="31"/>
    <n v="117537.37341607724"/>
    <n v="0.78524276614709743"/>
    <n v="92295.372226904816"/>
    <n v="90000"/>
    <n v="2.5504135854497952E-2"/>
  </r>
  <r>
    <x v="32"/>
    <n v="117537.37341607724"/>
    <n v="0.77955303961837863"/>
    <n v="91626.61671526343"/>
    <n v="90000"/>
    <n v="1.8073519058482552E-2"/>
  </r>
  <r>
    <x v="33"/>
    <n v="117537.37341607724"/>
    <n v="0.79041883839540317"/>
    <n v="92903.754163582518"/>
    <n v="90000"/>
    <n v="3.226393515091687E-2"/>
  </r>
  <r>
    <x v="34"/>
    <n v="117537.37341607724"/>
    <n v="0.78058331859986496"/>
    <n v="91747.713000633128"/>
    <n v="90000"/>
    <n v="1.941903334036809E-2"/>
  </r>
  <r>
    <x v="35"/>
    <n v="117537.37341607724"/>
    <n v="0.77639262628228889"/>
    <n v="91255.150032830294"/>
    <n v="90000"/>
    <n v="1.3946111475892151E-2"/>
  </r>
  <r>
    <x v="36"/>
    <n v="117537.37341607724"/>
    <n v="0.79582203357730785"/>
    <n v="93538.831533317993"/>
    <n v="90000"/>
    <n v="3.9320350370199916E-2"/>
  </r>
  <r>
    <x v="37"/>
    <n v="117537.37341607724"/>
    <n v="0.79937774135517436"/>
    <n v="93956.760086163544"/>
    <n v="90000"/>
    <n v="4.3964000957372705E-2"/>
  </r>
  <r>
    <x v="38"/>
    <n v="117537.37341607724"/>
    <n v="0.79097396431811806"/>
    <n v="92969.002206453602"/>
    <n v="90000"/>
    <n v="3.2988913405040024E-2"/>
  </r>
  <r>
    <x v="39"/>
    <n v="117537.37341607724"/>
    <n v="0.78983869239096882"/>
    <n v="92835.565326023469"/>
    <n v="90000"/>
    <n v="3.1506281400260759E-2"/>
  </r>
  <r>
    <x v="40"/>
    <n v="117537.37341607724"/>
    <n v="0.79510022135674552"/>
    <n v="93453.991620813467"/>
    <n v="90000"/>
    <n v="3.8377684675705195E-2"/>
  </r>
  <r>
    <x v="41"/>
    <n v="117537.37341607724"/>
    <n v="0.79855470633824965"/>
    <n v="93860.022712044753"/>
    <n v="90000"/>
    <n v="4.2889141244941698E-2"/>
  </r>
  <r>
    <x v="42"/>
    <n v="117537.37341607724"/>
    <n v="0.79733043603822651"/>
    <n v="93716.125196628724"/>
    <n v="90000"/>
    <n v="4.1290279962541372E-2"/>
  </r>
  <r>
    <x v="43"/>
    <n v="117537.37341607724"/>
    <n v="0.79748981053137069"/>
    <n v="93734.857655942411"/>
    <n v="90000"/>
    <n v="4.1498418399360124E-2"/>
  </r>
  <r>
    <x v="44"/>
    <n v="117537.37341607724"/>
    <n v="0.7939999089958345"/>
    <n v="93324.663795974746"/>
    <n v="90000"/>
    <n v="3.6940708844163846E-2"/>
  </r>
  <r>
    <x v="45"/>
    <n v="117537.37341607724"/>
    <n v="0.79843760321604695"/>
    <n v="93846.258718642232"/>
    <n v="90000"/>
    <n v="4.2736207984913684E-2"/>
  </r>
  <r>
    <x v="46"/>
    <n v="117537.37341607724"/>
    <n v="0.80992776156657165"/>
    <n v="95196.781751297705"/>
    <n v="90000"/>
    <n v="5.774201945886339E-2"/>
  </r>
  <r>
    <x v="47"/>
    <n v="117537.37341607724"/>
    <n v="0.81955192450740233"/>
    <n v="96327.980584691293"/>
    <n v="90000"/>
    <n v="7.0310895385458816E-2"/>
  </r>
  <r>
    <x v="48"/>
    <n v="117537.37341607724"/>
    <n v="0.824438837729079"/>
    <n v="96902.375528879464"/>
    <n v="90000"/>
    <n v="7.6693061431994045E-2"/>
  </r>
  <r>
    <x v="49"/>
    <n v="117537.37341607724"/>
    <n v="0.8383245260955503"/>
    <n v="98534.462867548689"/>
    <n v="90000"/>
    <n v="9.4827365194985441E-2"/>
  </r>
  <r>
    <x v="50"/>
    <n v="117537.37341607724"/>
    <n v="0.83911077359506114"/>
    <n v="98626.876333496155"/>
    <n v="90000"/>
    <n v="9.5854181483290612E-2"/>
  </r>
  <r>
    <x v="51"/>
    <n v="117537.37341607724"/>
    <n v="0.82872595447118125"/>
    <n v="97406.271970274262"/>
    <n v="90000"/>
    <n v="8.2291910780825123E-2"/>
  </r>
  <r>
    <x v="52"/>
    <n v="117537.37341607724"/>
    <n v="0.84989362908748156"/>
    <n v="99894.264846000369"/>
    <n v="90000"/>
    <n v="0.10993627606667077"/>
  </r>
  <r>
    <x v="53"/>
    <n v="117537.37341607724"/>
    <n v="0.84965622392851847"/>
    <n v="99866.360867180425"/>
    <n v="90000"/>
    <n v="0.10962623185756028"/>
  </r>
  <r>
    <x v="54"/>
    <n v="117537.37341607724"/>
    <n v="0.85026835907853027"/>
    <n v="99938.309624888469"/>
    <n v="90000"/>
    <n v="0.11042566249876076"/>
  </r>
  <r>
    <x v="55"/>
    <n v="117537.37341607724"/>
    <n v="0.84849398972152579"/>
    <n v="99729.754911196185"/>
    <n v="90000"/>
    <n v="0.10810838790217983"/>
  </r>
  <r>
    <x v="56"/>
    <n v="117537.37341607724"/>
    <n v="0.86645600921013433"/>
    <n v="101840.96350313562"/>
    <n v="90000"/>
    <n v="0.1315662611459513"/>
  </r>
  <r>
    <x v="57"/>
    <n v="117537.37341607724"/>
    <n v="0.9157157517437895"/>
    <n v="107630.82425569367"/>
    <n v="90000"/>
    <n v="0.19589804728548527"/>
  </r>
  <r>
    <x v="58"/>
    <n v="117537.37341607724"/>
    <n v="0.89923140228695586"/>
    <n v="105693.29711806471"/>
    <n v="90000"/>
    <n v="0.17436996797849683"/>
  </r>
  <r>
    <x v="59"/>
    <n v="117537.37341607724"/>
    <n v="0.8977947469096893"/>
    <n v="105524.43641851671"/>
    <n v="90000"/>
    <n v="0.17249373798351897"/>
  </r>
  <r>
    <x v="60"/>
    <n v="117537.37341607724"/>
    <n v="0.89613256805610242"/>
    <n v="105329.06828191836"/>
    <n v="90000"/>
    <n v="0.17032298091020395"/>
  </r>
  <r>
    <x v="61"/>
    <n v="117537.37341607724"/>
    <n v="0.90817601295347106"/>
    <n v="106744.62316203633"/>
    <n v="90000"/>
    <n v="0.18605136846707027"/>
  </r>
  <r>
    <x v="62"/>
    <n v="117537.37341607724"/>
    <n v="0.91520745564526107"/>
    <n v="107571.080467355"/>
    <n v="90000"/>
    <n v="0.19523422741505556"/>
  </r>
  <r>
    <x v="63"/>
    <n v="117537.37341607724"/>
    <n v="0.9223755376874454"/>
    <n v="108413.59800302429"/>
    <n v="90000"/>
    <n v="0.20459553336693659"/>
  </r>
  <r>
    <x v="64"/>
    <n v="117537.37341607724"/>
    <n v="0.92729238360962662"/>
    <n v="108991.51115820903"/>
    <n v="90000"/>
    <n v="0.21101679064676701"/>
  </r>
  <r>
    <x v="65"/>
    <n v="117537.37341607724"/>
    <n v="0.92080738407246632"/>
    <n v="108229.28134600673"/>
    <n v="90000"/>
    <n v="0.20254757051118585"/>
  </r>
  <r>
    <x v="66"/>
    <n v="117537.37341607724"/>
    <n v="0.8991669555833125"/>
    <n v="105685.72222179314"/>
    <n v="90000"/>
    <n v="0.17428580246436823"/>
  </r>
  <r>
    <x v="67"/>
    <n v="117537.37341607724"/>
    <n v="0.91068304799114441"/>
    <n v="107039.29347542653"/>
    <n v="90000"/>
    <n v="0.18932548306029479"/>
  </r>
  <r>
    <x v="68"/>
    <n v="117537.37341607724"/>
    <n v="0.91888906356036404"/>
    <n v="108003.80699164404"/>
    <n v="90000"/>
    <n v="0.20004229990715605"/>
  </r>
  <r>
    <x v="69"/>
    <n v="117537.37341607724"/>
    <n v="0.91242222928801375"/>
    <n v="107243.71227695492"/>
    <n v="90000"/>
    <n v="0.19159680307727686"/>
  </r>
  <r>
    <x v="70"/>
    <n v="117537.37341607724"/>
    <n v="0.90529607587592531"/>
    <n v="106406.12292233804"/>
    <n v="90000"/>
    <n v="0.18229025469264484"/>
  </r>
  <r>
    <x v="71"/>
    <n v="117537.37341607724"/>
    <n v="0.91175125695952963"/>
    <n v="107164.84795183003"/>
    <n v="90000"/>
    <n v="0.19072053279811144"/>
  </r>
  <r>
    <x v="72"/>
    <n v="117537.37341607724"/>
    <n v="0.92966666369315409"/>
    <n v="109270.57780298096"/>
    <n v="90000"/>
    <n v="0.21411753114423288"/>
  </r>
  <r>
    <x v="73"/>
    <n v="117537.37341607724"/>
    <n v="0.92758725498368022"/>
    <n v="109026.16956501087"/>
    <n v="90000"/>
    <n v="0.21140188405567639"/>
  </r>
  <r>
    <x v="74"/>
    <n v="117537.37341607724"/>
    <n v="0.92601745621264275"/>
    <n v="108841.65954067135"/>
    <n v="90000"/>
    <n v="0.20935177267412605"/>
  </r>
  <r>
    <x v="75"/>
    <n v="117537.37341607724"/>
    <n v="0.92713102121957858"/>
    <n v="108972.54504671464"/>
    <n v="90000"/>
    <n v="0.21080605607460715"/>
  </r>
  <r>
    <x v="76"/>
    <n v="117537.37341607724"/>
    <n v="0.9290003297907784"/>
    <n v="109192.25866627763"/>
    <n v="90000"/>
    <n v="0.2132473185141959"/>
  </r>
  <r>
    <x v="77"/>
    <n v="117537.37341607724"/>
    <n v="0.92068349468152322"/>
    <n v="108214.71971240116"/>
    <n v="90000"/>
    <n v="0.20238577458223508"/>
  </r>
  <r>
    <x v="78"/>
    <n v="117537.37341607724"/>
    <n v="0.90900288666786511"/>
    <n v="106841.81172657301"/>
    <n v="90000"/>
    <n v="0.18713124140636678"/>
  </r>
  <r>
    <x v="79"/>
    <n v="117537.37341607724"/>
    <n v="0.912413272327252"/>
    <n v="107242.6594993132"/>
    <n v="90000"/>
    <n v="0.19158510554792446"/>
  </r>
  <r>
    <x v="80"/>
    <n v="117537.37341607724"/>
    <n v="0.90986785031488604"/>
    <n v="106943.47728174423"/>
    <n v="90000"/>
    <n v="0.18826085868604697"/>
  </r>
  <r>
    <x v="81"/>
    <n v="117537.37341607724"/>
    <n v="0.93511299852280871"/>
    <n v="109910.72569360306"/>
    <n v="90000"/>
    <n v="0.22123028548447846"/>
  </r>
  <r>
    <x v="82"/>
    <n v="117537.37341607724"/>
    <n v="0.95525576376420196"/>
    <n v="112278.25341341307"/>
    <n v="90000"/>
    <n v="0.24753614903792298"/>
  </r>
  <r>
    <x v="83"/>
    <n v="117537.37341607724"/>
    <n v="0.95454434801595212"/>
    <n v="112194.63547495696"/>
    <n v="90000"/>
    <n v="0.24660706083285508"/>
  </r>
  <r>
    <x v="84"/>
    <n v="117537.37341607724"/>
    <n v="0.96285101514679183"/>
    <n v="113170.97931135751"/>
    <n v="90000"/>
    <n v="0.25745532568175017"/>
  </r>
  <r>
    <x v="85"/>
    <n v="117537.37341607724"/>
    <n v="0.96966710234067743"/>
    <n v="113972.12429710179"/>
    <n v="90000"/>
    <n v="0.26635693663446436"/>
  </r>
  <r>
    <x v="86"/>
    <n v="117537.37341607724"/>
    <n v="0.96405060810594101"/>
    <n v="113311.97631694433"/>
    <n v="90000"/>
    <n v="0.25902195907715925"/>
  </r>
  <r>
    <x v="87"/>
    <n v="117537.37341607724"/>
    <n v="0.96644967977729068"/>
    <n v="113593.9568998317"/>
    <n v="90000"/>
    <n v="0.26215507666479665"/>
  </r>
  <r>
    <x v="88"/>
    <n v="117537.37341607724"/>
    <n v="0.96638672970867256"/>
    <n v="113586.55791410996"/>
    <n v="90000"/>
    <n v="0.2620728657123329"/>
  </r>
  <r>
    <x v="89"/>
    <n v="117537.37341607724"/>
    <n v="0.95446186171914205"/>
    <n v="112184.94025228708"/>
    <n v="90000"/>
    <n v="0.24649933613652311"/>
  </r>
  <r>
    <x v="90"/>
    <n v="117537.37341607724"/>
    <n v="0.95249498625393136"/>
    <n v="111953.7588762697"/>
    <n v="90000"/>
    <n v="0.24393065418077442"/>
  </r>
  <r>
    <x v="91"/>
    <n v="117537.37341607724"/>
    <n v="0.94875374143171642"/>
    <n v="111514.02278656005"/>
    <n v="90000"/>
    <n v="0.23904469762844496"/>
  </r>
  <r>
    <x v="92"/>
    <n v="117537.37341607724"/>
    <n v="0.96720199593309997"/>
    <n v="113682.382164764"/>
    <n v="90000"/>
    <n v="0.26313757960848888"/>
  </r>
  <r>
    <x v="93"/>
    <n v="117537.37341607724"/>
    <n v="0.9659952054161961"/>
    <n v="113540.53917714368"/>
    <n v="90000"/>
    <n v="0.26156154641270762"/>
  </r>
  <r>
    <x v="94"/>
    <n v="117537.37341607724"/>
    <n v="0.9657081028346397"/>
    <n v="113506.79389380656"/>
    <n v="90000"/>
    <n v="0.26118659882007295"/>
  </r>
  <r>
    <x v="95"/>
    <n v="117537.37341607724"/>
    <n v="0.97335659329522617"/>
    <n v="114405.77737314183"/>
    <n v="90000"/>
    <n v="0.27117530414602031"/>
  </r>
  <r>
    <x v="96"/>
    <n v="117537.37341607724"/>
    <n v="0.95807309351397485"/>
    <n v="112609.39495224836"/>
    <n v="90000"/>
    <n v="0.25121549946942623"/>
  </r>
  <r>
    <x v="97"/>
    <n v="117537.37341607724"/>
    <n v="0.95262317133013774"/>
    <n v="111968.82541343813"/>
    <n v="90000"/>
    <n v="0.24409806014931254"/>
  </r>
  <r>
    <x v="98"/>
    <n v="117537.37341607724"/>
    <n v="0.95490319768116028"/>
    <n v="112236.81372205676"/>
    <n v="90000"/>
    <n v="0.24707570802285286"/>
  </r>
  <r>
    <x v="99"/>
    <n v="117537.37341607724"/>
    <n v="0.93822062976869602"/>
    <n v="110275.98850779039"/>
    <n v="90000"/>
    <n v="0.22528876119767099"/>
  </r>
  <r>
    <x v="100"/>
    <n v="117537.37341607724"/>
    <n v="0.93060789860298687"/>
    <n v="109381.20808205022"/>
    <n v="90000"/>
    <n v="0.21534675646722462"/>
  </r>
  <r>
    <x v="101"/>
    <n v="117537.37341607724"/>
    <n v="0.92879537076518681"/>
    <n v="109168.16832075168"/>
    <n v="90000"/>
    <n v="0.21297964800835195"/>
  </r>
  <r>
    <x v="102"/>
    <n v="117537.37341607724"/>
    <n v="0.93031119927775741"/>
    <n v="109346.33482266842"/>
    <n v="90000"/>
    <n v="0.21495927580742685"/>
  </r>
  <r>
    <x v="103"/>
    <n v="117537.37341607724"/>
    <n v="0.89102670055764388"/>
    <n v="104728.93802713903"/>
    <n v="90000"/>
    <n v="0.16365486696821138"/>
  </r>
  <r>
    <x v="104"/>
    <n v="117537.37341607724"/>
    <n v="0.89682039180948869"/>
    <n v="105409.91327926457"/>
    <n v="90000"/>
    <n v="0.17122125865849522"/>
  </r>
  <r>
    <x v="105"/>
    <n v="117537.37341607724"/>
    <n v="0.89043453577422838"/>
    <n v="104659.33653386687"/>
    <n v="90000"/>
    <n v="0.16288151704296519"/>
  </r>
  <r>
    <x v="106"/>
    <n v="117537.37341607724"/>
    <n v="0.88320704531882932"/>
    <n v="103809.83628934949"/>
    <n v="90000"/>
    <n v="0.15344262543721657"/>
  </r>
  <r>
    <x v="107"/>
    <n v="117537.37341607724"/>
    <n v="0.90398479509993201"/>
    <n v="106251.99842411678"/>
    <n v="90000"/>
    <n v="0.18057776026796427"/>
  </r>
  <r>
    <x v="108"/>
    <n v="117537.37341607724"/>
    <n v="0.89373033174427952"/>
    <n v="105046.71573550197"/>
    <n v="90000"/>
    <n v="0.16718573039446638"/>
  </r>
  <r>
    <x v="109"/>
    <n v="117537.37341607724"/>
    <n v="0.88972860387950636"/>
    <n v="104576.36315315061"/>
    <n v="90000"/>
    <n v="0.16195959059056234"/>
  </r>
  <r>
    <x v="110"/>
    <n v="117537.37341607724"/>
    <n v="0.90104202220071616"/>
    <n v="105906.11262698294"/>
    <n v="90000"/>
    <n v="0.17673458474425488"/>
  </r>
  <r>
    <x v="111"/>
    <n v="117537.37341607724"/>
    <n v="0.90608453976623671"/>
    <n v="106498.79689703866"/>
    <n v="90000"/>
    <n v="0.18331996552265176"/>
  </r>
  <r>
    <x v="112"/>
    <n v="117537.37341607724"/>
    <n v="0.8898672996749738"/>
    <n v="104592.66509265371"/>
    <n v="90000"/>
    <n v="0.16214072325170789"/>
  </r>
  <r>
    <x v="113"/>
    <n v="117537.37341607724"/>
    <n v="0.88978846928051536"/>
    <n v="104583.3995751437"/>
    <n v="90000"/>
    <n v="0.16203777305715225"/>
  </r>
  <r>
    <x v="114"/>
    <n v="117537.37341607724"/>
    <n v="0.89755280614687105"/>
    <n v="105495.99933673277"/>
    <n v="90000"/>
    <n v="0.17217777040814189"/>
  </r>
  <r>
    <x v="115"/>
    <n v="117537.37341607724"/>
    <n v="0.89533024601093902"/>
    <n v="105234.76545609604"/>
    <n v="90000"/>
    <n v="0.1692751717344004"/>
  </r>
  <r>
    <x v="116"/>
    <n v="117537.37341607724"/>
    <n v="0.88598655932865189"/>
    <n v="104136.53306543724"/>
    <n v="90000"/>
    <n v="0.15707258961596932"/>
  </r>
  <r>
    <x v="117"/>
    <n v="117537.37341607724"/>
    <n v="0.88084304746066577"/>
    <n v="103531.97819033972"/>
    <n v="90000"/>
    <n v="0.15035531322599693"/>
  </r>
  <r>
    <x v="118"/>
    <n v="117537.37341607724"/>
    <n v="0.89356261722389552"/>
    <n v="105027.0030112923"/>
    <n v="90000"/>
    <n v="0.16696670012546996"/>
  </r>
  <r>
    <x v="119"/>
    <n v="117537.37341607724"/>
    <n v="0.89433584057127857"/>
    <n v="105117.8856526077"/>
    <n v="90000"/>
    <n v="0.16797650725119667"/>
  </r>
  <r>
    <x v="120"/>
    <n v="117537.37341607724"/>
    <n v="0.89500852660399011"/>
    <n v="105196.95140202629"/>
    <n v="90000"/>
    <n v="0.16885501557806987"/>
  </r>
  <r>
    <x v="121"/>
    <n v="117537.37341607724"/>
    <n v="0.89287942047192292"/>
    <n v="104946.70185953905"/>
    <n v="90000"/>
    <n v="0.1660744651059895"/>
  </r>
  <r>
    <x v="122"/>
    <n v="117537.37341607724"/>
    <n v="0.89068382261583445"/>
    <n v="104688.63705445644"/>
    <n v="90000"/>
    <n v="0.16320707838284934"/>
  </r>
  <r>
    <x v="123"/>
    <n v="117537.37341607724"/>
    <n v="0.88896406330020861"/>
    <n v="104486.50106158995"/>
    <n v="90000"/>
    <n v="0.16096112290655501"/>
  </r>
  <r>
    <x v="124"/>
    <n v="117537.37341607724"/>
    <n v="0.88091068165417208"/>
    <n v="103539.92773579757"/>
    <n v="90000"/>
    <n v="0.15044364150886186"/>
  </r>
  <r>
    <x v="125"/>
    <n v="117537.37341607724"/>
    <n v="0.87944626426842232"/>
    <n v="103367.8039626917"/>
    <n v="90000"/>
    <n v="0.14853115514101892"/>
  </r>
  <r>
    <x v="126"/>
    <n v="117537.37341607724"/>
    <n v="0.87127577950018309"/>
    <n v="102407.46664349679"/>
    <n v="90000"/>
    <n v="0.13786074048329772"/>
  </r>
  <r>
    <x v="127"/>
    <n v="117537.37341607724"/>
    <n v="0.87878031880567187"/>
    <n v="103289.53048216166"/>
    <n v="90000"/>
    <n v="0.14766144980179621"/>
  </r>
  <r>
    <x v="128"/>
    <n v="117537.37341607724"/>
    <n v="0.89810301945080073"/>
    <n v="105560.66996329525"/>
    <n v="90000"/>
    <n v="0.1728963329255028"/>
  </r>
  <r>
    <x v="129"/>
    <n v="117537.37341607724"/>
    <n v="0.89832185948063437"/>
    <n v="105586.39184560018"/>
    <n v="90000"/>
    <n v="0.17318213161777984"/>
  </r>
  <r>
    <x v="130"/>
    <n v="117537.37341607724"/>
    <n v="0.8959279289219666"/>
    <n v="105305.01553559391"/>
    <n v="90000"/>
    <n v="0.17005572817326561"/>
  </r>
  <r>
    <x v="131"/>
    <n v="117537.37341607724"/>
    <n v="0.88605185145971432"/>
    <n v="104144.20733102705"/>
    <n v="90000"/>
    <n v="0.15715785923363387"/>
  </r>
  <r>
    <x v="132"/>
    <n v="117537.37341607724"/>
    <n v="0.88230945274331951"/>
    <n v="103704.3356156263"/>
    <n v="90000"/>
    <n v="0.15227039572918116"/>
  </r>
  <r>
    <x v="133"/>
    <n v="117537.37341607724"/>
    <n v="0.8790513389882747"/>
    <n v="103321.38548256754"/>
    <n v="90000"/>
    <n v="0.14801539425075042"/>
  </r>
  <r>
    <x v="134"/>
    <n v="117537.37341607724"/>
    <n v="0.89654885257887518"/>
    <n v="105377.99727131883"/>
    <n v="90000"/>
    <n v="0.17086663634798702"/>
  </r>
  <r>
    <x v="135"/>
    <n v="117537.37341607724"/>
    <n v="0.91433886229949546"/>
    <n v="107468.98828692702"/>
    <n v="90000"/>
    <n v="0.1940998698547447"/>
  </r>
  <r>
    <x v="136"/>
    <n v="117537.37341607724"/>
    <n v="0.92330950831586955"/>
    <n v="108523.37445753704"/>
    <n v="90000"/>
    <n v="0.2058152717504115"/>
  </r>
  <r>
    <x v="137"/>
    <n v="117537.37341607724"/>
    <n v="0.92278428977477511"/>
    <n v="108461.64164974737"/>
    <n v="90000"/>
    <n v="0.20512935166385965"/>
  </r>
  <r>
    <x v="138"/>
    <n v="117537.37341607724"/>
    <n v="0.91365254785062511"/>
    <n v="107388.32068926931"/>
    <n v="90000"/>
    <n v="0.19320356321410348"/>
  </r>
  <r>
    <x v="139"/>
    <n v="117537.37341607724"/>
    <n v="0.91849664062177783"/>
    <n v="107957.6826301744"/>
    <n v="90000"/>
    <n v="0.19952980700193779"/>
  </r>
  <r>
    <x v="140"/>
    <n v="117537.37341607724"/>
    <n v="0.92910730415496945"/>
    <n v="109204.83215206749"/>
    <n v="90000"/>
    <n v="0.21338702391186104"/>
  </r>
  <r>
    <x v="141"/>
    <n v="117537.37341607724"/>
    <n v="0.92125668253537707"/>
    <n v="108282.09070721714"/>
    <n v="90000"/>
    <n v="0.20313434119130155"/>
  </r>
  <r>
    <x v="142"/>
    <n v="117537.37341607724"/>
    <n v="0.94640931052838007"/>
    <n v="111238.46453602641"/>
    <n v="90000"/>
    <n v="0.23598293928918235"/>
  </r>
  <r>
    <x v="143"/>
    <n v="117537.37341607724"/>
    <n v="0.9450026526691081"/>
    <n v="111073.12966595251"/>
    <n v="90000"/>
    <n v="0.23414588517725013"/>
  </r>
  <r>
    <x v="144"/>
    <n v="117537.37341607724"/>
    <n v="0.94194769308890058"/>
    <n v="110714.05774100263"/>
    <n v="90000"/>
    <n v="0.23015619712225147"/>
  </r>
  <r>
    <x v="145"/>
    <n v="117537.37341607724"/>
    <n v="0.9406356026058702"/>
    <n v="110559.83807194301"/>
    <n v="90000"/>
    <n v="0.22844264524381125"/>
  </r>
  <r>
    <x v="146"/>
    <n v="117537.37341607724"/>
    <n v="0.94345159475959106"/>
    <n v="110890.82239325164"/>
    <n v="90000"/>
    <n v="0.23212024881390714"/>
  </r>
  <r>
    <x v="147"/>
    <n v="117537.37341607724"/>
    <n v="0.91514408693978555"/>
    <n v="107563.63227615663"/>
    <n v="90000"/>
    <n v="0.19515146973507363"/>
  </r>
  <r>
    <x v="148"/>
    <n v="117537.37341607724"/>
    <n v="0.91635727677057366"/>
    <n v="107706.22742232257"/>
    <n v="90000"/>
    <n v="0.19673586024802853"/>
  </r>
  <r>
    <x v="149"/>
    <n v="117537.37341607724"/>
    <n v="0.9174259391018228"/>
    <n v="107831.83518580628"/>
    <n v="90000"/>
    <n v="0.19813150206451424"/>
  </r>
  <r>
    <x v="150"/>
    <n v="117537.37341607724"/>
    <n v="0.91531525134179703"/>
    <n v="107583.75049039139"/>
    <n v="90000"/>
    <n v="0.19537500544879327"/>
  </r>
  <r>
    <x v="151"/>
    <n v="117537.37341607724"/>
    <n v="0.91855412025342897"/>
    <n v="107964.43863510361"/>
    <n v="90000"/>
    <n v="0.19960487372337343"/>
  </r>
  <r>
    <x v="152"/>
    <n v="117537.37341607724"/>
    <n v="0.93145683189218798"/>
    <n v="109480.98947106839"/>
    <n v="90000"/>
    <n v="0.21645543856742652"/>
  </r>
  <r>
    <x v="153"/>
    <n v="117537.37341607724"/>
    <n v="0.93177175909797405"/>
    <n v="109518.00518765375"/>
    <n v="90000"/>
    <n v="0.21686672430726386"/>
  </r>
  <r>
    <x v="154"/>
    <n v="117537.37341607724"/>
    <n v="0.93699503900901115"/>
    <n v="110131.93578901401"/>
    <n v="90000"/>
    <n v="0.22368817543348898"/>
  </r>
  <r>
    <x v="155"/>
    <n v="117537.37341607724"/>
    <n v="0.92197954316095188"/>
    <n v="108367.0538464931"/>
    <n v="90000"/>
    <n v="0.20407837607214557"/>
  </r>
  <r>
    <x v="156"/>
    <n v="117537.37341607724"/>
    <n v="0.92827433873341947"/>
    <n v="109106.9275842721"/>
    <n v="90000"/>
    <n v="0.21229919538080108"/>
  </r>
  <r>
    <x v="157"/>
    <n v="117537.37341607724"/>
    <n v="0.91255011230471927"/>
    <n v="107258.74331084301"/>
    <n v="90000"/>
    <n v="0.19176381456492236"/>
  </r>
  <r>
    <x v="158"/>
    <n v="117537.37341607724"/>
    <n v="0.93014548627278293"/>
    <n v="109326.85735132283"/>
    <n v="90000"/>
    <n v="0.21474285945914259"/>
  </r>
  <r>
    <x v="159"/>
    <n v="117537.37341607724"/>
    <n v="0.94695267278999717"/>
    <n v="111302.32990907031"/>
    <n v="90000"/>
    <n v="0.23669255454522564"/>
  </r>
  <r>
    <x v="160"/>
    <n v="117537.37341607724"/>
    <n v="0.95683105554758874"/>
    <n v="112463.40907199628"/>
    <n v="90000"/>
    <n v="0.24959343413329205"/>
  </r>
  <r>
    <x v="161"/>
    <n v="117537.37341607724"/>
    <n v="0.9610286837789086"/>
    <n v="112956.78726888279"/>
    <n v="90000"/>
    <n v="0.25507541409869766"/>
  </r>
  <r>
    <x v="162"/>
    <n v="117537.37341607724"/>
    <n v="0.96619152772112771"/>
    <n v="113563.61438520833"/>
    <n v="90000"/>
    <n v="0.26181793761342592"/>
  </r>
  <r>
    <x v="163"/>
    <n v="117537.37341607724"/>
    <n v="0.96270921716849733"/>
    <n v="113154.31274943307"/>
    <n v="90000"/>
    <n v="0.25727014166036744"/>
  </r>
  <r>
    <x v="164"/>
    <n v="117537.37341607724"/>
    <n v="0.96547065217845973"/>
    <n v="113478.88456736325"/>
    <n v="90000"/>
    <n v="0.26087649519292494"/>
  </r>
  <r>
    <x v="165"/>
    <n v="117537.37341607724"/>
    <n v="0.95747782623721245"/>
    <n v="112539.42880005715"/>
    <n v="90000"/>
    <n v="0.2504380977784128"/>
  </r>
  <r>
    <x v="166"/>
    <n v="117537.37341607724"/>
    <n v="0.9438645588861988"/>
    <n v="110939.36111200818"/>
    <n v="90000"/>
    <n v="0.23265956791120196"/>
  </r>
  <r>
    <x v="167"/>
    <n v="117537.37341607724"/>
    <n v="0.93655535021428293"/>
    <n v="110080.25592296117"/>
    <n v="90000"/>
    <n v="0.22311395469956849"/>
  </r>
  <r>
    <x v="168"/>
    <n v="117537.37341607724"/>
    <n v="0.91515036925931093"/>
    <n v="107564.37068349261"/>
    <n v="90000"/>
    <n v="0.19515967426102904"/>
  </r>
  <r>
    <x v="169"/>
    <n v="117537.37341607724"/>
    <n v="0.90030963735634717"/>
    <n v="105820.03003604607"/>
    <n v="90000"/>
    <n v="0.17577811151162298"/>
  </r>
  <r>
    <x v="170"/>
    <n v="117537.37341607724"/>
    <n v="0.92122696720892649"/>
    <n v="108278.59804579594"/>
    <n v="90000"/>
    <n v="0.20309553384217707"/>
  </r>
  <r>
    <x v="171"/>
    <n v="117537.37341607724"/>
    <n v="0.9068158376068044"/>
    <n v="106584.75172440383"/>
    <n v="90000"/>
    <n v="0.18427501916004257"/>
  </r>
  <r>
    <x v="172"/>
    <n v="117537.37341607724"/>
    <n v="0.930544211551523"/>
    <n v="109373.72247330054"/>
    <n v="90000"/>
    <n v="0.2152635830366727"/>
  </r>
  <r>
    <x v="173"/>
    <n v="117537.37341607724"/>
    <n v="0.92440956480035608"/>
    <n v="108652.6722073329"/>
    <n v="90000"/>
    <n v="0.20725191341481"/>
  </r>
  <r>
    <x v="174"/>
    <n v="117537.37341607724"/>
    <n v="0.93176797086082053"/>
    <n v="109517.55992820884"/>
    <n v="90000"/>
    <n v="0.21686177698009818"/>
  </r>
  <r>
    <x v="175"/>
    <n v="117537.37341607724"/>
    <n v="0.93871859438272853"/>
    <n v="110334.51796057791"/>
    <n v="90000"/>
    <n v="0.22593908845086569"/>
  </r>
  <r>
    <x v="176"/>
    <n v="117537.37341607724"/>
    <n v="0.9418324391382783"/>
    <n v="110700.51109437065"/>
    <n v="90000"/>
    <n v="0.2300056788263406"/>
  </r>
  <r>
    <x v="177"/>
    <n v="117537.37341607724"/>
    <n v="0.97695278746401415"/>
    <n v="114828.46459003538"/>
    <n v="90000"/>
    <n v="0.2758718287781709"/>
  </r>
  <r>
    <x v="178"/>
    <n v="117537.37341607724"/>
    <n v="0.97630807524253049"/>
    <n v="114752.68680891294"/>
    <n v="90000"/>
    <n v="0.27502985343236602"/>
  </r>
  <r>
    <x v="179"/>
    <n v="117537.37341607724"/>
    <n v="0.97935934256662094"/>
    <n v="115111.32475577683"/>
    <n v="90000"/>
    <n v="0.27901471950863149"/>
  </r>
  <r>
    <x v="180"/>
    <n v="117537.37341607724"/>
    <n v="0.9842332494054995"/>
    <n v="115684.19096389328"/>
    <n v="90000"/>
    <n v="0.28537989959881427"/>
  </r>
  <r>
    <x v="181"/>
    <n v="117537.37341607724"/>
    <n v="0.97866684068718379"/>
    <n v="115029.9299037821"/>
    <n v="90000"/>
    <n v="0.27811033226424559"/>
  </r>
  <r>
    <x v="182"/>
    <n v="117537.37341607724"/>
    <n v="0.97607703176652505"/>
    <n v="114725.53056559834"/>
    <n v="90000"/>
    <n v="0.2747281173955371"/>
  </r>
  <r>
    <x v="183"/>
    <n v="117537.37341607724"/>
    <n v="0.99422904977219195"/>
    <n v="116859.07108418578"/>
    <n v="90000"/>
    <n v="0.2984341231576198"/>
  </r>
  <r>
    <x v="184"/>
    <n v="117537.37341607724"/>
    <n v="0.9929864579709754"/>
    <n v="116713.02010764243"/>
    <n v="90000"/>
    <n v="0.29681133452936032"/>
  </r>
  <r>
    <x v="185"/>
    <n v="117537.37341607724"/>
    <n v="0.9978439150281988"/>
    <n v="117283.95285162986"/>
    <n v="90000"/>
    <n v="0.3031550316847762"/>
  </r>
  <r>
    <x v="186"/>
    <n v="117537.37341607724"/>
    <n v="1.0040578389836152"/>
    <n v="118014.32115195674"/>
    <n v="90000"/>
    <n v="0.31127023502174156"/>
  </r>
  <r>
    <x v="187"/>
    <n v="117537.37341607724"/>
    <n v="1.0317176816908618"/>
    <n v="121265.38641286833"/>
    <n v="90000"/>
    <n v="0.34739318236520372"/>
  </r>
  <r>
    <x v="188"/>
    <n v="117537.37341607724"/>
    <n v="1.038640814727819"/>
    <n v="122079.11328584237"/>
    <n v="90000"/>
    <n v="0.35643459206491518"/>
  </r>
  <r>
    <x v="189"/>
    <n v="117537.37341607724"/>
    <n v="1.0458557825400772"/>
    <n v="122927.14165177672"/>
    <n v="90000"/>
    <n v="0.3658571294641858"/>
  </r>
  <r>
    <x v="190"/>
    <n v="117537.37341607724"/>
    <n v="1.0518791119642088"/>
    <n v="123635.10797150893"/>
    <n v="90000"/>
    <n v="0.37372342190565477"/>
  </r>
  <r>
    <x v="191"/>
    <n v="117537.37341607724"/>
    <n v="1.0548769798456639"/>
    <n v="123987.46948814359"/>
    <n v="90000"/>
    <n v="0.37763854986826206"/>
  </r>
  <r>
    <x v="192"/>
    <n v="117537.37341607724"/>
    <n v="1.0667198069464516"/>
    <n v="125379.44427939091"/>
    <n v="90000"/>
    <n v="0.3931049364376768"/>
  </r>
  <r>
    <x v="193"/>
    <n v="117537.37341607724"/>
    <n v="1.0612311731451445"/>
    <n v="124734.32467874257"/>
    <n v="90000"/>
    <n v="0.38593694087491748"/>
  </r>
  <r>
    <x v="194"/>
    <n v="117537.37341607724"/>
    <n v="1.0570814648987765"/>
    <n v="124246.57887102144"/>
    <n v="90000"/>
    <n v="0.38051754301134932"/>
  </r>
  <r>
    <x v="195"/>
    <n v="117537.37341607724"/>
    <n v="1.0579478603689154"/>
    <n v="124348.41271892116"/>
    <n v="90000"/>
    <n v="0.38164903021023511"/>
  </r>
  <r>
    <x v="196"/>
    <n v="117537.37341607724"/>
    <n v="1.0576832588717628"/>
    <n v="124317.31215394389"/>
    <n v="90000"/>
    <n v="0.38130346837715429"/>
  </r>
  <r>
    <x v="197"/>
    <n v="117537.37341607724"/>
    <n v="1.0535670417682392"/>
    <n v="123833.50280718539"/>
    <n v="90000"/>
    <n v="0.37592780896872652"/>
  </r>
  <r>
    <x v="198"/>
    <n v="117537.37341607724"/>
    <n v="1.0532515863322325"/>
    <n v="123796.42500380732"/>
    <n v="90000"/>
    <n v="0.37551583337563693"/>
  </r>
  <r>
    <x v="199"/>
    <n v="117537.37341607724"/>
    <n v="1.0563135838400013"/>
    <n v="124156.32414827705"/>
    <n v="90000"/>
    <n v="0.37951471275863391"/>
  </r>
  <r>
    <x v="200"/>
    <n v="117537.37341607724"/>
    <n v="1.0588240643428282"/>
    <n v="124451.3994325916"/>
    <n v="90000"/>
    <n v="0.38279332702879554"/>
  </r>
  <r>
    <x v="201"/>
    <n v="117537.37341607724"/>
    <n v="1.0623411710585291"/>
    <n v="124864.79091797913"/>
    <n v="90000"/>
    <n v="0.38738656575532371"/>
  </r>
  <r>
    <x v="202"/>
    <n v="117537.37341607724"/>
    <n v="1.0623920249973835"/>
    <n v="124870.76815637993"/>
    <n v="90000"/>
    <n v="0.38745297951533253"/>
  </r>
  <r>
    <x v="203"/>
    <n v="117537.37341607724"/>
    <n v="1.0536993559347414"/>
    <n v="123849.05466678178"/>
    <n v="90000"/>
    <n v="0.3761006074086865"/>
  </r>
  <r>
    <x v="204"/>
    <n v="117537.37341607724"/>
    <n v="1.0456859693666909"/>
    <n v="122907.18225740545"/>
    <n v="90000"/>
    <n v="0.36563535841561612"/>
  </r>
  <r>
    <x v="205"/>
    <n v="117537.37341607724"/>
    <n v="1.0457765403659698"/>
    <n v="122917.82773476836"/>
    <n v="90000"/>
    <n v="0.36575364149742623"/>
  </r>
  <r>
    <x v="206"/>
    <n v="117537.37341607724"/>
    <n v="1.0453035584808468"/>
    <n v="122862.23468631762"/>
    <n v="90000"/>
    <n v="0.36513594095908469"/>
  </r>
  <r>
    <x v="207"/>
    <n v="117537.37341607724"/>
    <n v="1.0455551445899547"/>
    <n v="122891.80545677013"/>
    <n v="90000"/>
    <n v="0.36546450507522371"/>
  </r>
  <r>
    <x v="208"/>
    <n v="117537.37341607724"/>
    <n v="1.0456658424779623"/>
    <n v="122904.81659576927"/>
    <n v="90000"/>
    <n v="0.36560907328632519"/>
  </r>
  <r>
    <x v="209"/>
    <n v="117537.37341607724"/>
    <n v="1.0459476189201633"/>
    <n v="122937.93585867609"/>
    <n v="90000"/>
    <n v="0.36597706509640104"/>
  </r>
  <r>
    <x v="210"/>
    <n v="117537.37341607724"/>
    <n v="1.0464306642496506"/>
    <n v="122994.71173794493"/>
    <n v="90000"/>
    <n v="0.36660790819938815"/>
  </r>
  <r>
    <x v="211"/>
    <n v="117537.37341607724"/>
    <n v="1.0453327424695034"/>
    <n v="122865.66489569012"/>
    <n v="90000"/>
    <n v="0.36517405439655687"/>
  </r>
  <r>
    <x v="212"/>
    <n v="117537.37341607724"/>
    <n v="1.0439357468838153"/>
    <n v="122701.46570387449"/>
    <n v="90000"/>
    <n v="0.36334961893193879"/>
  </r>
  <r>
    <x v="213"/>
    <n v="117537.37341607724"/>
    <n v="1.0438694607902399"/>
    <n v="122693.67461054162"/>
    <n v="90000"/>
    <n v="0.36326305122824026"/>
  </r>
  <r>
    <x v="214"/>
    <n v="117537.37341607724"/>
    <n v="1.0435575343819443"/>
    <n v="122657.01159981146"/>
    <n v="90000"/>
    <n v="0.36285568444234961"/>
  </r>
  <r>
    <x v="215"/>
    <n v="117537.37341607724"/>
    <n v="1.040147787580513"/>
    <n v="122256.23891675734"/>
    <n v="90000"/>
    <n v="0.35840265463063714"/>
  </r>
  <r>
    <x v="216"/>
    <n v="117537.37341607724"/>
    <n v="1.0360953458402113"/>
    <n v="121779.92555868061"/>
    <n v="90000"/>
    <n v="0.35311028398534011"/>
  </r>
  <r>
    <x v="217"/>
    <n v="117537.37341607724"/>
    <n v="1.0413177232776181"/>
    <n v="122393.75008566078"/>
    <n v="90000"/>
    <n v="0.35993055650734201"/>
  </r>
  <r>
    <x v="218"/>
    <n v="117537.37341607724"/>
    <n v="1.0352871665757639"/>
    <n v="121684.93429068812"/>
    <n v="90000"/>
    <n v="0.35205482545209021"/>
  </r>
  <r>
    <x v="219"/>
    <n v="117537.37341607724"/>
    <n v="1.0346584954713682"/>
    <n v="121611.04194033488"/>
    <n v="90000"/>
    <n v="0.35123379933705423"/>
  </r>
  <r>
    <x v="220"/>
    <n v="117537.37341607724"/>
    <n v="1.0387686643019876"/>
    <n v="122094.1403889825"/>
    <n v="90000"/>
    <n v="0.35660155987758335"/>
  </r>
  <r>
    <x v="221"/>
    <n v="117537.37341607724"/>
    <n v="1.0471814409915092"/>
    <n v="123082.95606420487"/>
    <n v="90000"/>
    <n v="0.3675884007133875"/>
  </r>
  <r>
    <x v="222"/>
    <n v="117537.37341607724"/>
    <n v="1.0389957395844611"/>
    <n v="122120.83022125215"/>
    <n v="90000"/>
    <n v="0.35689811356946838"/>
  </r>
  <r>
    <x v="223"/>
    <n v="117537.37341607724"/>
    <n v="1.0362132394664705"/>
    <n v="121793.78246585361"/>
    <n v="90000"/>
    <n v="0.35326424962059566"/>
  </r>
  <r>
    <x v="224"/>
    <n v="117537.37341607724"/>
    <n v="1.0398744238322477"/>
    <n v="122224.10845979907"/>
    <n v="90000"/>
    <n v="0.35804564955332302"/>
  </r>
  <r>
    <x v="225"/>
    <n v="117537.37341607724"/>
    <n v="1.0472212004595738"/>
    <n v="123087.6292876496"/>
    <n v="90000"/>
    <n v="0.36764032541832892"/>
  </r>
  <r>
    <x v="226"/>
    <n v="117537.37341607724"/>
    <n v="1.0536800200451004"/>
    <n v="123846.78197710072"/>
    <n v="90000"/>
    <n v="0.37607535530111913"/>
  </r>
  <r>
    <x v="227"/>
    <n v="117537.37341607724"/>
    <n v="1.0576957364928963"/>
    <n v="124318.77874075838"/>
    <n v="90000"/>
    <n v="0.38131976378620425"/>
  </r>
  <r>
    <x v="228"/>
    <n v="117537.37341607724"/>
    <n v="1.0499616313985245"/>
    <n v="123409.73234224203"/>
    <n v="90000"/>
    <n v="0.37121924824713365"/>
  </r>
  <r>
    <x v="229"/>
    <n v="117537.37341607724"/>
    <n v="1.0542854224355354"/>
    <n v="123917.93938393226"/>
    <n v="90000"/>
    <n v="0.37686599315480285"/>
  </r>
  <r>
    <x v="230"/>
    <n v="117537.37341607724"/>
    <n v="1.0508321212261911"/>
    <n v="123512.04743017137"/>
    <n v="90000"/>
    <n v="0.37235608255745967"/>
  </r>
  <r>
    <x v="231"/>
    <n v="117537.37341607724"/>
    <n v="1.0370583212781319"/>
    <n v="121893.11116231799"/>
    <n v="90000"/>
    <n v="0.35436790180353323"/>
  </r>
  <r>
    <x v="232"/>
    <n v="117537.37341607724"/>
    <n v="1.0376064074659221"/>
    <n v="121957.53177323649"/>
    <n v="90000"/>
    <n v="0.35508368636929438"/>
  </r>
  <r>
    <x v="233"/>
    <n v="117537.37341607724"/>
    <n v="1.0450109443950868"/>
    <n v="122827.84159525284"/>
    <n v="90000"/>
    <n v="0.3647537955028094"/>
  </r>
  <r>
    <x v="234"/>
    <n v="117537.37341607724"/>
    <n v="1.0526272646930237"/>
    <n v="123723.04387816791"/>
    <n v="90000"/>
    <n v="0.37470048753519902"/>
  </r>
  <r>
    <x v="235"/>
    <n v="117537.37341607724"/>
    <n v="1.0496647334688247"/>
    <n v="123374.83573941245"/>
    <n v="90000"/>
    <n v="0.37083150821569383"/>
  </r>
  <r>
    <x v="236"/>
    <n v="117537.37341607724"/>
    <n v="1.0503946154493757"/>
    <n v="123460.62415031013"/>
    <n v="90000"/>
    <n v="0.37178471278122371"/>
  </r>
  <r>
    <x v="237"/>
    <n v="117537.37341607724"/>
    <n v="1.0597151437496866"/>
    <n v="124556.13456557889"/>
    <n v="90000"/>
    <n v="0.38395705072865433"/>
  </r>
  <r>
    <x v="238"/>
    <n v="117537.37341607724"/>
    <n v="1.0561012590760732"/>
    <n v="124131.36805321375"/>
    <n v="90000"/>
    <n v="0.3792374228134861"/>
  </r>
  <r>
    <x v="239"/>
    <n v="117537.37341607724"/>
    <n v="1.0541764375698413"/>
    <n v="123905.12958907647"/>
    <n v="90000"/>
    <n v="0.37672366210084973"/>
  </r>
  <r>
    <x v="240"/>
    <n v="117537.37341607724"/>
    <n v="1.0370338997257493"/>
    <n v="121890.2407171962"/>
    <n v="90000"/>
    <n v="0.35433600796884662"/>
  </r>
  <r>
    <x v="241"/>
    <n v="117537.37341607724"/>
    <n v="1.0282494794288519"/>
    <n v="120857.74302851601"/>
    <n v="90000"/>
    <n v="0.34286381142795563"/>
  </r>
  <r>
    <x v="242"/>
    <n v="117537.37341607724"/>
    <n v="1.0274291695923035"/>
    <n v="120761.32596494073"/>
    <n v="90000"/>
    <n v="0.34179251072156364"/>
  </r>
  <r>
    <x v="243"/>
    <n v="117537.37341607724"/>
    <n v="1.0328871366150081"/>
    <n v="121402.841072981"/>
    <n v="90000"/>
    <n v="0.34892045636645552"/>
  </r>
  <r>
    <x v="244"/>
    <n v="117537.37341607724"/>
    <n v="1.0334878359441342"/>
    <n v="121473.44569433927"/>
    <n v="90000"/>
    <n v="0.34970495215932523"/>
  </r>
  <r>
    <x v="245"/>
    <n v="117537.37341607724"/>
    <n v="1.0274065626283042"/>
    <n v="120758.66880177135"/>
    <n v="90000"/>
    <n v="0.3417629866863483"/>
  </r>
  <r>
    <x v="246"/>
    <n v="117537.37341607724"/>
    <n v="1.0262697552957645"/>
    <n v="120625.05145382449"/>
    <n v="90000"/>
    <n v="0.34027834948693875"/>
  </r>
  <r>
    <x v="247"/>
    <n v="117537.37341607724"/>
    <n v="1.0340279873645373"/>
    <n v="121536.93367354042"/>
    <n v="90000"/>
    <n v="0.35041037415044912"/>
  </r>
  <r>
    <x v="248"/>
    <n v="117537.37341607724"/>
    <n v="1.0365807786576111"/>
    <n v="121836.98205700774"/>
    <n v="90000"/>
    <n v="0.35374424507786378"/>
  </r>
  <r>
    <x v="249"/>
    <n v="117537.37341607724"/>
    <n v="1.047687257113872"/>
    <n v="123142.4083626589"/>
    <n v="90000"/>
    <n v="0.36824898180732107"/>
  </r>
  <r>
    <x v="250"/>
    <n v="117537.37341607724"/>
    <n v="1.0600306594575268"/>
    <n v="124593.21945314994"/>
    <n v="90000"/>
    <n v="0.38436910503499933"/>
  </r>
  <r>
    <x v="251"/>
    <n v="117537.37341607724"/>
    <n v="1.0634055562260039"/>
    <n v="124989.89595486714"/>
    <n v="90000"/>
    <n v="0.38877662172074601"/>
  </r>
  <r>
    <x v="252"/>
    <n v="117537.37341607724"/>
    <n v="1.0797376408698511"/>
    <n v="126909.52628631399"/>
    <n v="90000"/>
    <n v="0.41010584762571106"/>
  </r>
  <r>
    <x v="253"/>
    <n v="117537.37341607724"/>
    <n v="1.0746478444037078"/>
    <n v="126311.28497846107"/>
    <n v="90000"/>
    <n v="0.40345872198290084"/>
  </r>
  <r>
    <x v="254"/>
    <n v="117537.37341607724"/>
    <n v="1.0940413899488799"/>
    <n v="128590.75138306567"/>
    <n v="90000"/>
    <n v="0.42878612647850745"/>
  </r>
  <r>
    <x v="255"/>
    <n v="117537.37341607724"/>
    <n v="1.1031778329709101"/>
    <n v="129664.62489824076"/>
    <n v="90000"/>
    <n v="0.44071805442489731"/>
  </r>
  <r>
    <x v="256"/>
    <n v="117537.37341607724"/>
    <n v="1.1156245814357049"/>
    <n v="131127.58302036332"/>
    <n v="90000"/>
    <n v="0.4569731446707036"/>
  </r>
  <r>
    <x v="257"/>
    <n v="117537.37341607724"/>
    <n v="1.1187037920333356"/>
    <n v="131489.50534620378"/>
    <n v="90000"/>
    <n v="0.46099450384670865"/>
  </r>
  <r>
    <x v="258"/>
    <n v="117537.37341607724"/>
    <n v="1.1116711334381471"/>
    <n v="130662.90512679332"/>
    <n v="90000"/>
    <n v="0.45181005696437027"/>
  </r>
  <r>
    <x v="259"/>
    <n v="117537.37341607724"/>
    <n v="1.1046902481750751"/>
    <n v="129842.39020885284"/>
    <n v="90000"/>
    <n v="0.44269322454280935"/>
  </r>
  <r>
    <x v="260"/>
    <n v="117537.37341607724"/>
    <n v="1.1013751160855088"/>
    <n v="129452.73829051787"/>
    <n v="90000"/>
    <n v="0.43836375878353184"/>
  </r>
  <r>
    <x v="261"/>
    <n v="117537.37341607724"/>
    <n v="1.0885010589891002"/>
    <n v="127939.55543419739"/>
    <n v="90000"/>
    <n v="0.42155061593552656"/>
  </r>
  <r>
    <x v="262"/>
    <n v="117537.37341607724"/>
    <n v="1.0918000984667673"/>
    <n v="128327.31586919833"/>
    <n v="90000"/>
    <n v="0.42585906521331474"/>
  </r>
  <r>
    <x v="263"/>
    <n v="117537.37341607724"/>
    <n v="1.0931694511281904"/>
    <n v="128488.26598430231"/>
    <n v="90000"/>
    <n v="0.42764739982558125"/>
  </r>
  <r>
    <x v="264"/>
    <n v="117537.37341607724"/>
    <n v="1.0958593706551243"/>
    <n v="128804.43206019874"/>
    <n v="90000"/>
    <n v="0.43116035622443044"/>
  </r>
  <r>
    <x v="265"/>
    <n v="117537.37341607724"/>
    <n v="1.0869754491195915"/>
    <n v="127760.2392572777"/>
    <n v="90000"/>
    <n v="0.41955821396975224"/>
  </r>
  <r>
    <x v="266"/>
    <n v="117537.37341607724"/>
    <n v="1.1016330517977904"/>
    <n v="129483.05537664965"/>
    <n v="90000"/>
    <n v="0.43870061529610715"/>
  </r>
  <r>
    <x v="267"/>
    <n v="117537.37341607724"/>
    <n v="1.1017874933183012"/>
    <n v="129501.20802731687"/>
    <n v="90000"/>
    <n v="0.43890231141463187"/>
  </r>
  <r>
    <x v="268"/>
    <n v="117537.37341607724"/>
    <n v="1.1160556202040131"/>
    <n v="131178.24618503076"/>
    <n v="90000"/>
    <n v="0.45753606872256397"/>
  </r>
  <r>
    <x v="269"/>
    <n v="117537.37341607724"/>
    <n v="1.1144261486821523"/>
    <n v="130986.72238229495"/>
    <n v="90000"/>
    <n v="0.45540802646994383"/>
  </r>
  <r>
    <x v="270"/>
    <n v="117537.37341607724"/>
    <n v="1.1211083220721327"/>
    <n v="131772.12749126405"/>
    <n v="90000"/>
    <n v="0.46413474990293391"/>
  </r>
  <r>
    <x v="271"/>
    <n v="117537.37341607724"/>
    <n v="1.1302135629538528"/>
    <n v="132842.33358882213"/>
    <n v="90000"/>
    <n v="0.47602592876469035"/>
  </r>
  <r>
    <x v="272"/>
    <n v="117537.37341607724"/>
    <n v="1.1106549331660254"/>
    <n v="130543.46361594344"/>
    <n v="90000"/>
    <n v="0.45048292906603826"/>
  </r>
  <r>
    <x v="273"/>
    <n v="117537.37341607724"/>
    <n v="1.1313068662579016"/>
    <n v="132970.83758752714"/>
    <n v="90000"/>
    <n v="0.47745375097252385"/>
  </r>
  <r>
    <x v="274"/>
    <n v="117537.37341607724"/>
    <n v="1.1346733455597804"/>
    <n v="133366.52472232957"/>
    <n v="90000"/>
    <n v="0.48185027469255082"/>
  </r>
  <r>
    <x v="275"/>
    <n v="117537.37341607724"/>
    <n v="1.1516244005148013"/>
    <n v="135358.90719837431"/>
    <n v="90000"/>
    <n v="0.50398785775971455"/>
  </r>
  <r>
    <x v="276"/>
    <n v="117537.37341607724"/>
    <n v="1.1448915643801389"/>
    <n v="134567.54732346523"/>
    <n v="90000"/>
    <n v="0.49519497026072479"/>
  </r>
  <r>
    <x v="277"/>
    <n v="117537.37341607724"/>
    <n v="1.1478037004641124"/>
    <n v="134909.83214980565"/>
    <n v="90000"/>
    <n v="0.49899813499784051"/>
  </r>
  <r>
    <x v="278"/>
    <n v="117537.37341607724"/>
    <n v="1.1466194624601693"/>
    <n v="134770.6399253227"/>
    <n v="90000"/>
    <n v="0.49745155472580777"/>
  </r>
  <r>
    <x v="279"/>
    <n v="117537.37341607724"/>
    <n v="1.1453251797561812"/>
    <n v="134618.51333583807"/>
    <n v="90000"/>
    <n v="0.49576125928708964"/>
  </r>
  <r>
    <x v="280"/>
    <n v="117537.37341607724"/>
    <n v="1.1745293501528082"/>
    <n v="138051.09481705318"/>
    <n v="90000"/>
    <n v="0.53390105352281303"/>
  </r>
  <r>
    <x v="281"/>
    <n v="117537.37341607724"/>
    <n v="1.1648075388440997"/>
    <n v="136908.41865098084"/>
    <n v="90000"/>
    <n v="0.5212046516775648"/>
  </r>
  <r>
    <x v="282"/>
    <n v="117537.37341607724"/>
    <n v="1.1802066210734334"/>
    <n v="138718.38632923493"/>
    <n v="90000"/>
    <n v="0.54131540365816588"/>
  </r>
  <r>
    <x v="283"/>
    <n v="117537.37341607724"/>
    <n v="1.1497616887780098"/>
    <n v="135139.96895340053"/>
    <n v="90000"/>
    <n v="0.50155521059333918"/>
  </r>
  <r>
    <x v="284"/>
    <n v="117537.37341607724"/>
    <n v="1.0652384377200437"/>
    <n v="125205.32803145952"/>
    <n v="90000"/>
    <n v="0.39117031146066128"/>
  </r>
  <r>
    <x v="285"/>
    <n v="117537.37341607724"/>
    <n v="1.1100692748059078"/>
    <n v="130474.62687057604"/>
    <n v="90000"/>
    <n v="0.44971807633973382"/>
  </r>
  <r>
    <x v="286"/>
    <n v="117537.37341607724"/>
    <n v="1.124152729650097"/>
    <n v="132129.95916158598"/>
    <n v="90000"/>
    <n v="0.46811065735095536"/>
  </r>
  <r>
    <x v="287"/>
    <n v="117537.37341607724"/>
    <n v="1.1386987943977349"/>
    <n v="133839.66540556354"/>
    <n v="90000"/>
    <n v="0.48710739339515047"/>
  </r>
  <r>
    <x v="288"/>
    <n v="117537.37341607724"/>
    <n v="1.139120195454056"/>
    <n v="133889.19577887826"/>
    <n v="90000"/>
    <n v="0.48765773087642511"/>
  </r>
  <r>
    <x v="289"/>
    <n v="117537.37341607724"/>
    <n v="1.1451657834771793"/>
    <n v="134599.7783158719"/>
    <n v="90000"/>
    <n v="0.49555309239857664"/>
  </r>
  <r>
    <x v="290"/>
    <n v="117537.37341607724"/>
    <n v="1.1430285408199923"/>
    <n v="134348.57242759332"/>
    <n v="90000"/>
    <n v="0.49276191586214796"/>
  </r>
  <r>
    <x v="291"/>
    <n v="117537.37341607724"/>
    <n v="1.165869933328586"/>
    <n v="137033.28970821909"/>
    <n v="90000"/>
    <n v="0.52259210786910104"/>
  </r>
  <r>
    <x v="292"/>
    <n v="117537.37341607724"/>
    <n v="1.1598305858784781"/>
    <n v="136323.44067178632"/>
    <n v="90000"/>
    <n v="0.51470489635318128"/>
  </r>
  <r>
    <x v="293"/>
    <n v="117537.37341607724"/>
    <n v="1.1591023610374862"/>
    <n v="136237.84703671979"/>
    <n v="90000"/>
    <n v="0.51375385596355316"/>
  </r>
  <r>
    <x v="294"/>
    <n v="117537.37341607724"/>
    <n v="1.195892856138304"/>
    <n v="140562.10519754697"/>
    <n v="90000"/>
    <n v="0.561801168861633"/>
  </r>
  <r>
    <x v="295"/>
    <n v="117537.37341607724"/>
    <n v="1.2137187501442974"/>
    <n v="142657.31395780484"/>
    <n v="90000"/>
    <n v="0.58508126619783163"/>
  </r>
  <r>
    <x v="296"/>
    <n v="117537.37341607724"/>
    <n v="1.198425782722508"/>
    <n v="140859.81873531008"/>
    <n v="90000"/>
    <n v="0.56510909705900092"/>
  </r>
  <r>
    <x v="297"/>
    <n v="117537.37341607724"/>
    <n v="1.2352606991173216"/>
    <n v="145189.29805835726"/>
    <n v="90000"/>
    <n v="0.61321442287063632"/>
  </r>
  <r>
    <x v="298"/>
    <n v="117537.37341607724"/>
    <n v="1.2579231951994725"/>
    <n v="147852.98832290541"/>
    <n v="90000"/>
    <n v="0.64281098136561565"/>
  </r>
  <r>
    <x v="299"/>
    <n v="117537.37341607724"/>
    <n v="1.2914320662164702"/>
    <n v="151791.53300838146"/>
    <n v="90000"/>
    <n v="0.68657258898201623"/>
  </r>
  <r>
    <x v="300"/>
    <n v="117537.37341607724"/>
    <n v="1.272042017304297"/>
    <n v="149512.47758883535"/>
    <n v="90000"/>
    <n v="0.6612497509870594"/>
  </r>
  <r>
    <x v="301"/>
    <n v="117537.37341607724"/>
    <n v="1.2411718528604458"/>
    <n v="145884.07954318271"/>
    <n v="90000"/>
    <n v="0.62093421714647457"/>
  </r>
  <r>
    <x v="302"/>
    <n v="117537.37341607724"/>
    <n v="1.2411718528604458"/>
    <n v="145884.07954318271"/>
    <n v="90000"/>
    <n v="0.62093421714647457"/>
  </r>
  <r>
    <x v="303"/>
    <n v="117537.37341607724"/>
    <n v="1.2411718528604458"/>
    <n v="145884.07954318271"/>
    <n v="90000"/>
    <n v="0.62093421714647457"/>
  </r>
  <r>
    <x v="304"/>
    <n v="117537.37341607724"/>
    <n v="1.2411718528604458"/>
    <n v="145884.07954318271"/>
    <n v="90000"/>
    <n v="0.62093421714647457"/>
  </r>
  <r>
    <x v="305"/>
    <n v="117537.37341607724"/>
    <n v="1.2411718528604458"/>
    <n v="145884.07954318271"/>
    <n v="90000"/>
    <n v="0.62093421714647457"/>
  </r>
  <r>
    <x v="306"/>
    <n v="117537.37341607724"/>
    <n v="1.2411718528604458"/>
    <n v="145884.07954318271"/>
    <n v="90000"/>
    <n v="0.62093421714647457"/>
  </r>
  <r>
    <x v="307"/>
    <n v="117537.37341607724"/>
    <n v="1.2411718528604458"/>
    <n v="145884.07954318271"/>
    <n v="90000"/>
    <n v="0.62093421714647457"/>
  </r>
  <r>
    <x v="308"/>
    <n v="117537.37341607724"/>
    <n v="1.2400957826859178"/>
    <n v="145757.60108125731"/>
    <n v="90000"/>
    <n v="0.61952890090285895"/>
  </r>
  <r>
    <x v="309"/>
    <n v="117537.37341607724"/>
    <n v="1.2355281313245159"/>
    <n v="145220.73133755775"/>
    <n v="90000"/>
    <n v="0.61356368152841945"/>
  </r>
  <r>
    <x v="310"/>
    <n v="117537.37341607724"/>
    <n v="1.2382586533414197"/>
    <n v="145541.6697234794"/>
    <n v="90000"/>
    <n v="0.61712966359421551"/>
  </r>
  <r>
    <x v="311"/>
    <n v="117537.37341607724"/>
    <n v="1.2354704123573381"/>
    <n v="145213.94720175938"/>
    <n v="90000"/>
    <n v="0.61348830224177087"/>
  </r>
  <r>
    <x v="312"/>
    <n v="117537.37341607724"/>
    <n v="1.2299354797197142"/>
    <n v="144563.38575749815"/>
    <n v="90000"/>
    <n v="0.60625984174997949"/>
  </r>
  <r>
    <x v="313"/>
    <n v="117537.37341607724"/>
    <n v="1.2367244871090419"/>
    <n v="145361.34785414208"/>
    <n v="90000"/>
    <n v="0.61512608726824536"/>
  </r>
  <r>
    <x v="314"/>
    <n v="117537.37341607724"/>
    <n v="1.234702454369063"/>
    <n v="145123.68343692363"/>
    <n v="90000"/>
    <n v="0.61248537152137372"/>
  </r>
  <r>
    <x v="315"/>
    <n v="117537.37341607724"/>
    <n v="1.234702454369063"/>
    <n v="145123.68343692363"/>
    <n v="90000"/>
    <n v="0.61248537152137372"/>
  </r>
  <r>
    <x v="316"/>
    <n v="117537.37341607724"/>
    <n v="1.234702454369063"/>
    <n v="145123.68343692363"/>
    <n v="90000"/>
    <n v="0.61248537152137372"/>
  </r>
  <r>
    <x v="317"/>
    <n v="117537.37341607724"/>
    <n v="1.234702454369063"/>
    <n v="145123.68343692363"/>
    <n v="90000"/>
    <n v="0.61248537152137372"/>
  </r>
  <r>
    <x v="318"/>
    <n v="117537.37341607724"/>
    <n v="1.2347331931180394"/>
    <n v="145127.29638874042"/>
    <n v="90000"/>
    <n v="0.61252551543044909"/>
  </r>
  <r>
    <x v="319"/>
    <n v="117537.37341607724"/>
    <n v="1.2347331931180399"/>
    <n v="145127.29638874048"/>
    <n v="90000"/>
    <n v="0.61252551543044975"/>
  </r>
  <r>
    <x v="320"/>
    <n v="117537.37341607724"/>
    <n v="1.2347331931180399"/>
    <n v="145127.29638874048"/>
    <n v="90000"/>
    <n v="0.61252551543044975"/>
  </r>
  <r>
    <x v="321"/>
    <n v="117537.37341607724"/>
    <n v="1.2347331931180399"/>
    <n v="145127.29638874048"/>
    <n v="90000"/>
    <n v="0.61252551543044975"/>
  </r>
  <r>
    <x v="322"/>
    <n v="117537.37341607724"/>
    <n v="1.2347331931180399"/>
    <n v="145127.29638874048"/>
    <n v="90000"/>
    <n v="0.61252551543044975"/>
  </r>
  <r>
    <x v="323"/>
    <n v="117537.37341607724"/>
    <n v="1.2347331931180399"/>
    <n v="145127.29638874048"/>
    <n v="90000"/>
    <n v="0.61252551543044975"/>
  </r>
  <r>
    <x v="324"/>
    <n v="117537.37341607724"/>
    <n v="1.2347331931180399"/>
    <n v="145127.29638874048"/>
    <n v="90000"/>
    <n v="0.61252551543044975"/>
  </r>
  <r>
    <x v="325"/>
    <n v="198526.53006737985"/>
    <n v="1.2347331931180399"/>
    <n v="245127.29638874048"/>
    <n v="190000"/>
    <n v="0.29014366520389723"/>
  </r>
  <r>
    <x v="326"/>
    <n v="198526.53006737985"/>
    <n v="1.2347331931180399"/>
    <n v="245127.29638874048"/>
    <n v="190000"/>
    <n v="0.29014366520389723"/>
  </r>
  <r>
    <x v="327"/>
    <n v="198526.53006737985"/>
    <n v="1.2347331931180399"/>
    <n v="245127.29638874048"/>
    <n v="190000"/>
    <n v="0.29014366520389723"/>
  </r>
  <r>
    <x v="328"/>
    <n v="198526.53006737985"/>
    <n v="1.2347331931180399"/>
    <n v="245127.29638874048"/>
    <n v="190000"/>
    <n v="0.29014366520389723"/>
  </r>
  <r>
    <x v="329"/>
    <n v="198526.53006737985"/>
    <n v="1.2347331931180399"/>
    <n v="245127.29638874048"/>
    <n v="190000"/>
    <n v="0.29014366520389723"/>
  </r>
  <r>
    <x v="330"/>
    <n v="198526.53006737985"/>
    <n v="1.2347331931180399"/>
    <n v="245127.29638874048"/>
    <n v="190000"/>
    <n v="0.29014366520389723"/>
  </r>
  <r>
    <x v="331"/>
    <n v="198526.53006737985"/>
    <n v="1.2346740570186012"/>
    <n v="245115.5563041172"/>
    <n v="190000"/>
    <n v="0.29008187528482737"/>
  </r>
  <r>
    <x v="332"/>
    <n v="198526.53006737985"/>
    <n v="1.2297866502421266"/>
    <n v="244145.27639575591"/>
    <n v="190000"/>
    <n v="0.28497513892503107"/>
  </r>
  <r>
    <x v="333"/>
    <n v="198526.53006737985"/>
    <n v="1.227481499507054"/>
    <n v="243687.64281903967"/>
    <n v="190000"/>
    <n v="0.28256654115284036"/>
  </r>
  <r>
    <x v="334"/>
    <n v="198526.53006737985"/>
    <n v="1.2373460829988012"/>
    <n v="245646.0243502162"/>
    <n v="190000"/>
    <n v="0.29287381236955895"/>
  </r>
  <r>
    <x v="335"/>
    <n v="198526.53006737985"/>
    <n v="1.2325223908889296"/>
    <n v="244688.39349352996"/>
    <n v="190000"/>
    <n v="0.28783364996594718"/>
  </r>
  <r>
    <x v="336"/>
    <n v="198526.53006737985"/>
    <n v="1.2334664122658996"/>
    <n v="244875.80678180925"/>
    <n v="190000"/>
    <n v="0.28882003569373293"/>
  </r>
  <r>
    <x v="337"/>
    <n v="198526.53006737985"/>
    <n v="1.2377129271897969"/>
    <n v="245718.85265452994"/>
    <n v="190000"/>
    <n v="0.29325711923436809"/>
  </r>
  <r>
    <x v="338"/>
    <n v="198526.53006737985"/>
    <n v="1.2411738768275511"/>
    <n v="246405.94297685122"/>
    <n v="190000"/>
    <n v="0.29687338408869063"/>
  </r>
  <r>
    <x v="339"/>
    <n v="198526.53006737985"/>
    <n v="1.2315957726447329"/>
    <n v="244504.43518881247"/>
    <n v="190000"/>
    <n v="0.28686544836217087"/>
  </r>
  <r>
    <x v="340"/>
    <n v="198526.53006737985"/>
    <n v="1.2357834293989167"/>
    <n v="245335.79615333382"/>
    <n v="190000"/>
    <n v="0.29124103238596749"/>
  </r>
  <r>
    <x v="341"/>
    <n v="198526.53006737985"/>
    <n v="1.2373781420022096"/>
    <n v="245652.38891292029"/>
    <n v="190000"/>
    <n v="0.29290731006800153"/>
  </r>
  <r>
    <x v="342"/>
    <n v="198526.53006737985"/>
    <n v="1.2328952053397655"/>
    <n v="244762.40705281342"/>
    <n v="190000"/>
    <n v="0.28822319501480748"/>
  </r>
  <r>
    <x v="343"/>
    <n v="198526.53006737985"/>
    <n v="1.2382030488242408"/>
    <n v="245816.15480192704"/>
    <n v="190000"/>
    <n v="0.293769235799616"/>
  </r>
  <r>
    <x v="344"/>
    <n v="198526.53006737985"/>
    <n v="1.2359208244920603"/>
    <n v="245363.0727244239"/>
    <n v="190000"/>
    <n v="0.29138459328644156"/>
  </r>
  <r>
    <x v="345"/>
    <n v="198526.53006737985"/>
    <n v="1.2378688116310734"/>
    <n v="245749.79985174807"/>
    <n v="190000"/>
    <n v="0.29341999921972672"/>
  </r>
  <r>
    <x v="346"/>
    <n v="198526.53006737985"/>
    <n v="1.2537296551542974"/>
    <n v="248898.59808035538"/>
    <n v="190000"/>
    <n v="0.30999262147555467"/>
  </r>
  <r>
    <x v="347"/>
    <n v="198526.53006737985"/>
    <n v="1.2520040167837412"/>
    <n v="248556.01308249772"/>
    <n v="190000"/>
    <n v="0.30818954253946168"/>
  </r>
  <r>
    <x v="348"/>
    <n v="198526.53006737985"/>
    <n v="1.2465961343137566"/>
    <n v="247482.40494071948"/>
    <n v="190000"/>
    <n v="0.30253897337220781"/>
  </r>
  <r>
    <x v="349"/>
    <n v="198526.53006737985"/>
    <n v="1.256115166616097"/>
    <n v="249372.18539330244"/>
    <n v="190000"/>
    <n v="0.31248518628053917"/>
  </r>
  <r>
    <x v="350"/>
    <n v="198526.53006737985"/>
    <n v="1.2538853333233426"/>
    <n v="248929.50432706319"/>
    <n v="190000"/>
    <n v="0.3101552859319115"/>
  </r>
  <r>
    <x v="351"/>
    <n v="198526.53006737985"/>
    <n v="1.2533455174573407"/>
    <n v="248822.3365563105"/>
    <n v="190000"/>
    <n v="0.30959124503321317"/>
  </r>
  <r>
    <x v="352"/>
    <n v="198526.53006737985"/>
    <n v="1.2591495729768341"/>
    <n v="249974.59555891395"/>
    <n v="190000"/>
    <n v="0.3156557660995471"/>
  </r>
  <r>
    <x v="353"/>
    <n v="198526.53006737985"/>
    <n v="1.2498056655291858"/>
    <n v="248119.58203606159"/>
    <n v="190000"/>
    <n v="0.30589253703190311"/>
  </r>
  <r>
    <x v="354"/>
    <n v="198526.53006737985"/>
    <n v="1.2528621189441969"/>
    <n v="248726.36912685633"/>
    <n v="190000"/>
    <n v="0.30908615329924383"/>
  </r>
  <r>
    <x v="355"/>
    <n v="198526.53006737985"/>
    <n v="1.2552648627586811"/>
    <n v="249203.37751898673"/>
    <n v="190000"/>
    <n v="0.31159672378414066"/>
  </r>
  <r>
    <x v="356"/>
    <n v="198526.53006737985"/>
    <n v="1.2688011083312356"/>
    <n v="251890.68138264591"/>
    <n v="190000"/>
    <n v="0.32574042832971534"/>
  </r>
  <r>
    <x v="357"/>
    <n v="198526.53006737985"/>
    <n v="1.2629857576534051"/>
    <n v="250736.17999145127"/>
    <n v="190000"/>
    <n v="0.31966410521816457"/>
  </r>
  <r>
    <x v="358"/>
    <n v="198526.53006737985"/>
    <n v="1.2551403465618143"/>
    <n v="249178.65775048558"/>
    <n v="190000"/>
    <n v="0.31146661973939782"/>
  </r>
  <r>
    <x v="359"/>
    <n v="198526.53006737985"/>
    <n v="1.2341886487894993"/>
    <n v="245019.18989272745"/>
    <n v="190000"/>
    <n v="0.28957468364593392"/>
  </r>
  <r>
    <x v="360"/>
    <n v="198526.53006737985"/>
    <n v="1.2351806006090442"/>
    <n v="245216.11864545572"/>
    <n v="190000"/>
    <n v="0.29061115076555638"/>
  </r>
  <r>
    <x v="361"/>
    <n v="198526.53006737985"/>
    <n v="1.2450634839190113"/>
    <n v="247178.1331760443"/>
    <n v="190000"/>
    <n v="0.30093754303181208"/>
  </r>
  <r>
    <x v="362"/>
    <n v="198526.53006737985"/>
    <n v="1.2357530273217978"/>
    <n v="245329.76053445655"/>
    <n v="190000"/>
    <n v="0.29120926597082397"/>
  </r>
  <r>
    <x v="363"/>
    <n v="198526.53006737985"/>
    <n v="1.2341521199384216"/>
    <n v="245011.93794667564"/>
    <n v="190000"/>
    <n v="0.28953651550881915"/>
  </r>
  <r>
    <x v="364"/>
    <n v="198526.53006737985"/>
    <n v="1.2381198211821991"/>
    <n v="245799.6319069468"/>
    <n v="190000"/>
    <n v="0.29368227319445683"/>
  </r>
  <r>
    <x v="365"/>
    <n v="198526.53006737985"/>
    <n v="1.25932999901336"/>
    <n v="250010.41491387924"/>
    <n v="190000"/>
    <n v="0.31584428902041706"/>
  </r>
  <r>
    <x v="366"/>
    <n v="198526.53006737985"/>
    <n v="1.2546356440208555"/>
    <n v="249078.46090631286"/>
    <n v="190000"/>
    <n v="0.31093926792796239"/>
  </r>
  <r>
    <x v="367"/>
    <n v="198526.53006737985"/>
    <n v="1.2494742074927987"/>
    <n v="248053.77882223472"/>
    <n v="190000"/>
    <n v="0.30554620432755114"/>
  </r>
  <r>
    <x v="368"/>
    <n v="198526.53006737985"/>
    <n v="1.2513837810169224"/>
    <n v="248432.87982788752"/>
    <n v="190000"/>
    <n v="0.30754147277835536"/>
  </r>
  <r>
    <x v="369"/>
    <n v="198526.53006737985"/>
    <n v="1.2582156834952847"/>
    <n v="249789.19372067551"/>
    <n v="190000"/>
    <n v="0.31467996695092376"/>
  </r>
  <r>
    <x v="370"/>
    <n v="198526.53006737985"/>
    <n v="1.2490339102468897"/>
    <n v="247966.36813780616"/>
    <n v="190000"/>
    <n v="0.30508614809371665"/>
  </r>
  <r>
    <x v="371"/>
    <n v="198526.53006737985"/>
    <n v="1.2623721895931383"/>
    <n v="250614.37045348631"/>
    <n v="190000"/>
    <n v="0.31902300238677006"/>
  </r>
  <r>
    <x v="372"/>
    <n v="198526.53006737985"/>
    <n v="1.2754490517276387"/>
    <n v="253210.47451721819"/>
    <n v="190000"/>
    <n v="0.33268670798535888"/>
  </r>
  <r>
    <x v="373"/>
    <n v="198526.53006737985"/>
    <n v="1.2795072492748412"/>
    <n v="254016.13439459223"/>
    <n v="190000"/>
    <n v="0.33692702312943279"/>
  </r>
  <r>
    <x v="374"/>
    <n v="198526.53006737985"/>
    <n v="1.2913851945653263"/>
    <n v="256374.22165744242"/>
    <n v="190000"/>
    <n v="0.34933800872338117"/>
  </r>
  <r>
    <x v="375"/>
    <n v="198526.53006737985"/>
    <n v="1.2869354503513224"/>
    <n v="255490.82937894884"/>
    <n v="190000"/>
    <n v="0.34468857567867811"/>
  </r>
  <r>
    <x v="376"/>
    <n v="198526.53006737985"/>
    <n v="1.312562508981026"/>
    <n v="260578.4804045372"/>
    <n v="190000"/>
    <n v="0.37146568633966948"/>
  </r>
  <r>
    <x v="377"/>
    <n v="198526.53006737985"/>
    <n v="1.3097448938133034"/>
    <n v="260019.10904222401"/>
    <n v="190000"/>
    <n v="0.36852162653802112"/>
  </r>
  <r>
    <x v="378"/>
    <n v="198526.53006737985"/>
    <n v="1.3181977393164712"/>
    <n v="261697.22312916355"/>
    <n v="190000"/>
    <n v="0.37735380594296608"/>
  </r>
  <r>
    <x v="379"/>
    <n v="198526.53006737985"/>
    <n v="1.3511911337669433"/>
    <n v="268247.28724456014"/>
    <n v="190000"/>
    <n v="0.41182782760294812"/>
  </r>
  <r>
    <x v="380"/>
    <n v="198526.53006737985"/>
    <n v="1.3691305059999022"/>
    <n v="271808.72856555658"/>
    <n v="190000"/>
    <n v="0.43057225560819251"/>
  </r>
  <r>
    <x v="381"/>
    <n v="198526.53006737985"/>
    <n v="1.3947546408173752"/>
    <n v="276895.79913684825"/>
    <n v="190000"/>
    <n v="0.45734631124656971"/>
  </r>
  <r>
    <x v="382"/>
    <n v="198526.53006737985"/>
    <n v="1.3912209907887547"/>
    <n v="276194.27585819369"/>
    <n v="190000"/>
    <n v="0.45365408346417735"/>
  </r>
  <r>
    <x v="383"/>
    <n v="234466.18331517366"/>
    <n v="1.3822179191255946"/>
    <n v="324083.36000721954"/>
    <n v="240000"/>
    <n v="0.35034733336341473"/>
  </r>
  <r>
    <x v="384"/>
    <n v="234466.18331517366"/>
    <n v="1.4198870573336615"/>
    <n v="332915.49907163676"/>
    <n v="240000"/>
    <n v="0.38714791279848648"/>
  </r>
  <r>
    <x v="385"/>
    <n v="234466.18331517366"/>
    <n v="1.4045472967671047"/>
    <n v="329318.84395862761"/>
    <n v="240000"/>
    <n v="0.37216184982761502"/>
  </r>
  <r>
    <x v="386"/>
    <n v="234466.18331517366"/>
    <n v="1.4131176275002175"/>
    <n v="331328.2966953693"/>
    <n v="240000"/>
    <n v="0.38053456956403875"/>
  </r>
  <r>
    <x v="387"/>
    <n v="234466.18331517366"/>
    <n v="1.4334057255529946"/>
    <n v="336085.16961252794"/>
    <n v="240000"/>
    <n v="0.40035487338553311"/>
  </r>
  <r>
    <x v="388"/>
    <n v="234466.18331517366"/>
    <n v="1.4800802493706995"/>
    <n v="347028.7670701184"/>
    <n v="240000"/>
    <n v="0.44595319612549333"/>
  </r>
  <r>
    <x v="389"/>
    <n v="234466.18331517366"/>
    <n v="1.5147757769573238"/>
    <n v="355163.6950014605"/>
    <n v="240000"/>
    <n v="0.47984872917275206"/>
  </r>
  <r>
    <x v="390"/>
    <n v="234466.18331517366"/>
    <n v="1.5745184164407169"/>
    <n v="369171.32366230607"/>
    <n v="240000"/>
    <n v="0.53821384859294197"/>
  </r>
  <r>
    <x v="391"/>
    <n v="234466.18331517366"/>
    <n v="1.6133379125449046"/>
    <n v="378273.18275207322"/>
    <n v="240000"/>
    <n v="0.57613826146697178"/>
  </r>
  <r>
    <x v="392"/>
    <n v="234466.18331517366"/>
    <n v="1.6226035473978175"/>
    <n v="380445.66079202777"/>
    <n v="240000"/>
    <n v="0.58519025330011576"/>
  </r>
  <r>
    <x v="393"/>
    <n v="234466.18331517366"/>
    <n v="1.6997234314325376"/>
    <n v="398527.66565935739"/>
    <n v="240000"/>
    <n v="0.66053194024732242"/>
  </r>
  <r>
    <x v="394"/>
    <n v="234466.18331517366"/>
    <n v="1.6751943240386242"/>
    <n v="392776.41946857848"/>
    <n v="240000"/>
    <n v="0.6365684144524103"/>
  </r>
  <r>
    <x v="395"/>
    <n v="234466.18331517366"/>
    <n v="1.6405382274495794"/>
    <n v="384650.73677274317"/>
    <n v="240000"/>
    <n v="0.60271140321976324"/>
  </r>
  <r>
    <x v="396"/>
    <n v="234466.18331517366"/>
    <n v="1.5714316110455036"/>
    <n v="368447.5721826537"/>
    <n v="240000"/>
    <n v="0.53519821742772378"/>
  </r>
  <r>
    <x v="397"/>
    <n v="234466.18331517366"/>
    <n v="1.5714316110455036"/>
    <n v="368447.5721826537"/>
    <n v="240000"/>
    <n v="0.53519821742772378"/>
  </r>
  <r>
    <x v="397"/>
    <n v="234466.18331517366"/>
    <n v="1.5714316110455036"/>
    <n v="368447.5721826537"/>
    <n v="240000"/>
    <n v="0.53519821742772378"/>
  </r>
  <r>
    <x v="398"/>
    <n v="234466.18331517366"/>
    <n v="1.5714316110454973"/>
    <n v="368447.57218265225"/>
    <n v="240000"/>
    <n v="0.53519821742771767"/>
  </r>
  <r>
    <x v="399"/>
    <n v="234466.18331517366"/>
    <n v="1.5714316110454973"/>
    <n v="368447.57218265225"/>
    <n v="240000"/>
    <n v="0.53519821742771767"/>
  </r>
  <r>
    <x v="400"/>
    <n v="234466.18331517366"/>
    <n v="1.5714316110454973"/>
    <n v="368447.57218265225"/>
    <n v="240000"/>
    <n v="0.53519821742771767"/>
  </r>
  <r>
    <x v="401"/>
    <n v="234466.18331517366"/>
    <n v="1.5714316110454973"/>
    <n v="368447.57218265225"/>
    <n v="240000"/>
    <n v="0.53519821742771767"/>
  </r>
  <r>
    <x v="402"/>
    <n v="234466.18331517366"/>
    <n v="1.5714316110454973"/>
    <n v="368447.57218265225"/>
    <n v="240000"/>
    <n v="0.53519821742771767"/>
  </r>
  <r>
    <x v="403"/>
    <n v="234466.18331517366"/>
    <n v="1.5714316110454973"/>
    <n v="368447.57218265225"/>
    <n v="240000"/>
    <n v="0.53519821742771767"/>
  </r>
  <r>
    <x v="404"/>
    <n v="234466.18331517366"/>
    <n v="1.5714316110454973"/>
    <n v="368447.57218265225"/>
    <n v="240000"/>
    <n v="0.53519821742771767"/>
  </r>
  <r>
    <x v="405"/>
    <n v="234466.18331517366"/>
    <n v="1.5714316110454973"/>
    <n v="368447.57218265225"/>
    <n v="240000"/>
    <n v="0.53519821742771767"/>
  </r>
  <r>
    <x v="406"/>
    <n v="234466.18331517366"/>
    <n v="1.5714316110454973"/>
    <n v="368447.57218265225"/>
    <n v="240000"/>
    <n v="0.53519821742771767"/>
  </r>
  <r>
    <x v="407"/>
    <n v="234466.18331517366"/>
    <n v="1.5714316110454973"/>
    <n v="368447.57218265225"/>
    <n v="240000"/>
    <n v="0.53519821742771767"/>
  </r>
  <r>
    <x v="408"/>
    <n v="234466.18331517366"/>
    <n v="1.582114351952882"/>
    <n v="370952.31367055164"/>
    <n v="240000"/>
    <n v="0.54563464029396513"/>
  </r>
  <r>
    <x v="409"/>
    <n v="234466.18331517366"/>
    <n v="1.5613431703002218"/>
    <n v="366082.17398550623"/>
    <n v="240000"/>
    <n v="0.52534239160627594"/>
  </r>
  <r>
    <x v="410"/>
    <n v="234466.18331517366"/>
    <n v="1.5751906247353287"/>
    <n v="369328.93377553648"/>
    <n v="240000"/>
    <n v="0.53887055739806866"/>
  </r>
  <r>
    <x v="411"/>
    <n v="234466.18331517366"/>
    <n v="1.543341479534583"/>
    <n v="361861.38625846687"/>
    <n v="240000"/>
    <n v="0.50775577607694533"/>
  </r>
  <r>
    <x v="412"/>
    <n v="234466.18331517366"/>
    <n v="1.5056715161342322"/>
    <n v="353029.05371436436"/>
    <n v="240000"/>
    <n v="0.47095439047651816"/>
  </r>
  <r>
    <x v="413"/>
    <n v="234466.18331517366"/>
    <n v="1.4985034220737063"/>
    <n v="351348.37805834867"/>
    <n v="240000"/>
    <n v="0.46395157524311942"/>
  </r>
  <r>
    <x v="414"/>
    <n v="234466.18331517366"/>
    <n v="1.4955935853536728"/>
    <n v="350666.11974853207"/>
    <n v="240000"/>
    <n v="0.46110883228555033"/>
  </r>
  <r>
    <x v="415"/>
    <n v="234466.18331517366"/>
    <n v="1.4909002369620126"/>
    <n v="349565.68826417107"/>
    <n v="240000"/>
    <n v="0.45652370110071278"/>
  </r>
  <r>
    <x v="416"/>
    <n v="234466.18331517366"/>
    <n v="1.4909002369620126"/>
    <n v="349565.68826417107"/>
    <n v="240000"/>
    <n v="0.45652370110071278"/>
  </r>
  <r>
    <x v="417"/>
    <n v="234466.18331517366"/>
    <n v="1.4909002369620126"/>
    <n v="349565.68826417107"/>
    <n v="240000"/>
    <n v="0.45652370110071278"/>
  </r>
  <r>
    <x v="418"/>
    <n v="234466.18331517366"/>
    <n v="1.4909002369620126"/>
    <n v="349565.68826417107"/>
    <n v="240000"/>
    <n v="0.45652370110071278"/>
  </r>
  <r>
    <x v="419"/>
    <n v="234466.18331517366"/>
    <n v="1.4909002369620126"/>
    <n v="349565.68826417107"/>
    <n v="240000"/>
    <n v="0.45652370110071278"/>
  </r>
  <r>
    <x v="420"/>
    <n v="234466.18331517366"/>
    <n v="1.4909002369620126"/>
    <n v="349565.68826417107"/>
    <n v="240000"/>
    <n v="0.45652370110071278"/>
  </r>
  <r>
    <x v="421"/>
    <n v="234466.18331517366"/>
    <n v="1.4909002369620126"/>
    <n v="349565.68826417107"/>
    <n v="240000"/>
    <n v="0.45652370110071278"/>
  </r>
  <r>
    <x v="422"/>
    <n v="234466.18331517366"/>
    <n v="1.4909002369620126"/>
    <n v="349565.68826417107"/>
    <n v="240000"/>
    <n v="0.45652370110071278"/>
  </r>
  <r>
    <x v="423"/>
    <n v="234466.18331517366"/>
    <n v="1.4909002369620126"/>
    <n v="349565.68826417107"/>
    <n v="240000"/>
    <n v="0.45652370110071278"/>
  </r>
  <r>
    <x v="424"/>
    <n v="234466.18331517366"/>
    <n v="1.4909002369620126"/>
    <n v="349565.68826417107"/>
    <n v="240000"/>
    <n v="0.45652370110071278"/>
  </r>
  <r>
    <x v="425"/>
    <n v="234466.18331517366"/>
    <n v="1.4909002369620126"/>
    <n v="349565.68826417107"/>
    <n v="240000"/>
    <n v="0.45652370110071278"/>
  </r>
  <r>
    <x v="426"/>
    <n v="234466.18331517366"/>
    <n v="1.4909002369620126"/>
    <n v="349565.68826417107"/>
    <n v="240000"/>
    <n v="0.45652370110071278"/>
  </r>
  <r>
    <x v="427"/>
    <n v="234466.18331517366"/>
    <n v="1.4909002369620126"/>
    <n v="349565.68826417107"/>
    <n v="240000"/>
    <n v="0.45652370110071278"/>
  </r>
  <r>
    <x v="428"/>
    <n v="234466.18331517366"/>
    <n v="1.4791008490622766"/>
    <n v="346799.13081786473"/>
    <n v="240000"/>
    <n v="0.44499637840776973"/>
  </r>
  <r>
    <x v="429"/>
    <n v="234466.18331517366"/>
    <n v="1.4837565878143302"/>
    <n v="347890.7441135713"/>
    <n v="240000"/>
    <n v="0.4495447671398804"/>
  </r>
  <r>
    <x v="430"/>
    <n v="234466.18331517366"/>
    <n v="1.4849205225023436"/>
    <n v="348163.64743749797"/>
    <n v="240000"/>
    <n v="0.45068186432290824"/>
  </r>
  <r>
    <x v="431"/>
    <n v="234466.18331517366"/>
    <n v="1.4808180188463176"/>
    <n v="347201.74906323297"/>
    <n v="240000"/>
    <n v="0.44667395443013741"/>
  </r>
  <r>
    <x v="432"/>
    <n v="234466.18331517366"/>
    <n v="1.4714059816304124"/>
    <n v="344994.94461999933"/>
    <n v="240000"/>
    <n v="0.43747893591666387"/>
  </r>
  <r>
    <x v="433"/>
    <n v="234466.18331517366"/>
    <n v="1.468748245943243"/>
    <n v="344371.79547716823"/>
    <n v="240000"/>
    <n v="0.43488248115486761"/>
  </r>
  <r>
    <x v="434"/>
    <n v="234466.18331517366"/>
    <n v="1.468748245943243"/>
    <n v="344371.79547716823"/>
    <n v="240000"/>
    <n v="0.43488248115486761"/>
  </r>
  <r>
    <x v="435"/>
    <n v="234466.18331517366"/>
    <n v="1.4652618844901462"/>
    <n v="343554.36161360343"/>
    <n v="240000"/>
    <n v="0.43147650672334759"/>
  </r>
  <r>
    <x v="436"/>
    <n v="234466.18331517366"/>
    <n v="1.4652618844901462"/>
    <n v="343554.36161360343"/>
    <n v="240000"/>
    <n v="0.43147650672334759"/>
  </r>
  <r>
    <x v="437"/>
    <n v="234466.18331517366"/>
    <n v="1.4652618844901462"/>
    <n v="343554.36161360343"/>
    <n v="240000"/>
    <n v="0.43147650672334759"/>
  </r>
  <r>
    <x v="438"/>
    <n v="234466.18331517366"/>
    <n v="1.4652618844901462"/>
    <n v="343554.36161360343"/>
    <n v="240000"/>
    <n v="0.43147650672334759"/>
  </r>
  <r>
    <x v="439"/>
    <n v="234466.18331517366"/>
    <n v="1.4652618844901462"/>
    <n v="343554.36161360343"/>
    <n v="240000"/>
    <n v="0.43147650672334759"/>
  </r>
  <r>
    <x v="440"/>
    <n v="234466.18331517366"/>
    <n v="1.4652618844901462"/>
    <n v="343554.36161360343"/>
    <n v="240000"/>
    <n v="0.43147650672334759"/>
  </r>
  <r>
    <x v="441"/>
    <n v="234466.18331517366"/>
    <n v="1.4652618844901462"/>
    <n v="343554.36161360343"/>
    <n v="240000"/>
    <n v="0.43147650672334759"/>
  </r>
  <r>
    <x v="442"/>
    <n v="234466.18331517366"/>
    <n v="1.4655900051106874"/>
    <n v="343631.29480316874"/>
    <n v="240000"/>
    <n v="0.43179706167986975"/>
  </r>
  <r>
    <x v="443"/>
    <n v="234466.18331517366"/>
    <n v="1.4655900051106874"/>
    <n v="343631.29480316874"/>
    <n v="240000"/>
    <n v="0.43179706167986975"/>
  </r>
  <r>
    <x v="444"/>
    <n v="234466.18331517366"/>
    <n v="1.4655900051106874"/>
    <n v="343631.29480316874"/>
    <n v="240000"/>
    <n v="0.43179706167986975"/>
  </r>
  <r>
    <x v="445"/>
    <n v="234466.18331517366"/>
    <n v="1.4655900051106874"/>
    <n v="343631.29480316874"/>
    <n v="240000"/>
    <n v="0.43179706167986975"/>
  </r>
  <r>
    <x v="446"/>
    <n v="234466.18331517366"/>
    <n v="1.4625985867995592"/>
    <n v="342929.90836905938"/>
    <n v="240000"/>
    <n v="0.42887461820441408"/>
  </r>
  <r>
    <x v="447"/>
    <n v="234466.18331517366"/>
    <n v="1.4635681792872426"/>
    <n v="343157.2450190176"/>
    <n v="240000"/>
    <n v="0.42982185424590669"/>
  </r>
  <r>
    <x v="448"/>
    <n v="234466.18331517366"/>
    <n v="1.4554669709849188"/>
    <n v="341257.78562813054"/>
    <n v="240000"/>
    <n v="0.4219074401172106"/>
  </r>
  <r>
    <x v="449"/>
    <n v="234466.18331517366"/>
    <n v="1.4611620802107033"/>
    <n v="342593.09615186322"/>
    <n v="240000"/>
    <n v="0.42747123396609676"/>
  </r>
  <r>
    <x v="450"/>
    <n v="234466.18331517366"/>
    <n v="1.4663664137706989"/>
    <n v="343813.33637837449"/>
    <n v="240000"/>
    <n v="0.43255556824322705"/>
  </r>
  <r>
    <x v="451"/>
    <n v="234466.18331517366"/>
    <n v="1.5095603144075473"/>
    <n v="353940.84540319117"/>
    <n v="240000"/>
    <n v="0.47475352251329656"/>
  </r>
  <r>
    <x v="452"/>
    <n v="234466.18331517366"/>
    <n v="1.5393432698112777"/>
    <n v="360923.94128454989"/>
    <n v="240000"/>
    <n v="0.50384975535229115"/>
  </r>
  <r>
    <x v="453"/>
    <n v="234466.18331517366"/>
    <n v="1.5433127586030635"/>
    <n v="361854.65217127226"/>
    <n v="240000"/>
    <n v="0.50772771738030109"/>
  </r>
  <r>
    <x v="454"/>
    <n v="234466.18331517366"/>
    <n v="1.5374177282347448"/>
    <n v="360472.46690028551"/>
    <n v="240000"/>
    <n v="0.50196861208452292"/>
  </r>
  <r>
    <x v="455"/>
    <n v="234466.18331517366"/>
    <n v="1.5289546710824589"/>
    <n v="358488.16619061085"/>
    <n v="240000"/>
    <n v="0.49370069246087855"/>
  </r>
  <r>
    <x v="456"/>
    <n v="234466.18331517366"/>
    <n v="1.5312313478148936"/>
    <n v="359021.96989470726"/>
    <n v="240000"/>
    <n v="0.49592487456128026"/>
  </r>
  <r>
    <x v="457"/>
    <n v="234466.18331517366"/>
    <n v="1.5089995658749413"/>
    <n v="353809.36883495149"/>
    <n v="240000"/>
    <n v="0.47420570347896451"/>
  </r>
  <r>
    <x v="458"/>
    <n v="234466.18331517366"/>
    <n v="1.528200603007986"/>
    <n v="358311.36272722937"/>
    <n v="240000"/>
    <n v="0.49296401136345569"/>
  </r>
  <r>
    <x v="459"/>
    <n v="234466.18331517366"/>
    <n v="1.5194202476745382"/>
    <n v="356252.66632404487"/>
    <n v="240000"/>
    <n v="0.48438610968352031"/>
  </r>
  <r>
    <x v="460"/>
    <n v="234466.18331517366"/>
    <n v="1.4914525240942043"/>
    <n v="349695.18092015019"/>
    <n v="240000"/>
    <n v="0.45706325383395913"/>
  </r>
  <r>
    <x v="461"/>
    <n v="234466.18331517366"/>
    <n v="1.4823992515712068"/>
    <n v="347572.49466517079"/>
    <n v="240000"/>
    <n v="0.44821872777154492"/>
  </r>
  <r>
    <x v="462"/>
    <n v="234466.18331517366"/>
    <n v="1.4808162693385087"/>
    <n v="347201.33886281436"/>
    <n v="240000"/>
    <n v="0.4466722452617265"/>
  </r>
  <r>
    <x v="463"/>
    <n v="234466.18331517366"/>
    <n v="1.4808162693385087"/>
    <n v="347201.33886281436"/>
    <n v="240000"/>
    <n v="0.4466722452617265"/>
  </r>
  <r>
    <x v="464"/>
    <n v="234466.18331517366"/>
    <n v="1.4808162693385087"/>
    <n v="347201.33886281436"/>
    <n v="240000"/>
    <n v="0.4466722452617265"/>
  </r>
  <r>
    <x v="465"/>
    <n v="234466.18331517366"/>
    <n v="1.4808162693385087"/>
    <n v="347201.33886281436"/>
    <n v="240000"/>
    <n v="0.4466722452617265"/>
  </r>
  <r>
    <x v="466"/>
    <n v="234466.18331517366"/>
    <n v="1.473418204291171"/>
    <n v="345466.7427872477"/>
    <n v="240000"/>
    <n v="0.43944476161353208"/>
  </r>
  <r>
    <x v="467"/>
    <n v="234466.18331517366"/>
    <n v="1.4921561159188808"/>
    <n v="349860.14940989384"/>
    <n v="240000"/>
    <n v="0.45775062254122434"/>
  </r>
  <r>
    <x v="468"/>
    <n v="234466.18331517366"/>
    <n v="1.4964353675630502"/>
    <n v="350863.48921034741"/>
    <n v="240000"/>
    <n v="0.46193120504311419"/>
  </r>
  <r>
    <x v="469"/>
    <n v="234466.18331517366"/>
    <n v="1.5153594232908345"/>
    <n v="355300.54032968462"/>
    <n v="240000"/>
    <n v="0.48041891804035258"/>
  </r>
  <r>
    <x v="470"/>
    <n v="234466.18331517366"/>
    <n v="1.5293414482372647"/>
    <n v="358578.85235389171"/>
    <n v="240000"/>
    <n v="0.49407855147454877"/>
  </r>
  <r>
    <x v="471"/>
    <n v="234466.18331517366"/>
    <n v="1.5389494574657243"/>
    <n v="360831.60560694558"/>
    <n v="240000"/>
    <n v="0.50346502336227328"/>
  </r>
  <r>
    <x v="472"/>
    <n v="234466.18331517366"/>
    <n v="1.5469408588463631"/>
    <n v="362705.31898800354"/>
    <n v="240000"/>
    <n v="0.51127216245001472"/>
  </r>
  <r>
    <x v="473"/>
    <n v="234466.18331517366"/>
    <n v="1.5225975598042885"/>
    <n v="356997.63857230841"/>
    <n v="240000"/>
    <n v="0.4874901607179517"/>
  </r>
  <r>
    <x v="474"/>
    <n v="234466.18331517366"/>
    <n v="1.5022820453848995"/>
    <n v="352234.3374443099"/>
    <n v="240000"/>
    <n v="0.46764307268462457"/>
  </r>
  <r>
    <x v="475"/>
    <n v="234466.18331517366"/>
    <n v="1.5163449008763663"/>
    <n v="355531.60149790696"/>
    <n v="240000"/>
    <n v="0.48138167290794565"/>
  </r>
  <r>
    <x v="476"/>
    <n v="234466.18331517366"/>
    <n v="1.5119942271650724"/>
    <n v="354511.51563797018"/>
    <n v="240000"/>
    <n v="0.47713131515820906"/>
  </r>
  <r>
    <x v="477"/>
    <n v="234466.18331517366"/>
    <n v="1.5118059170738527"/>
    <n v="354467.36328960216"/>
    <n v="240000"/>
    <n v="0.47694734704000902"/>
  </r>
  <r>
    <x v="478"/>
    <n v="234466.18331517366"/>
    <n v="1.5112421859446421"/>
    <n v="354335.18740332022"/>
    <n v="240000"/>
    <n v="0.47639661418050089"/>
  </r>
  <r>
    <x v="479"/>
    <n v="234466.18331517366"/>
    <n v="1.4955838820878675"/>
    <n v="350663.84466083301"/>
    <n v="240000"/>
    <n v="0.46109935275347086"/>
  </r>
  <r>
    <x v="480"/>
    <n v="234466.18331517366"/>
    <n v="1.5197444220934195"/>
    <n v="356328.67426276836"/>
    <n v="240000"/>
    <n v="0.48470280942820149"/>
  </r>
  <r>
    <x v="481"/>
    <n v="234466.18331517366"/>
    <n v="1.525534459975544"/>
    <n v="357686.24234624038"/>
    <n v="240000"/>
    <n v="0.49035934310933493"/>
  </r>
  <r>
    <x v="482"/>
    <n v="234466.18331517366"/>
    <n v="1.5368008661996404"/>
    <n v="360327.83361328254"/>
    <n v="240000"/>
    <n v="0.50136597338867728"/>
  </r>
  <r>
    <x v="483"/>
    <n v="234466.18331517366"/>
    <n v="1.5182433153073025"/>
    <n v="355976.71548387897"/>
    <n v="240000"/>
    <n v="0.48323631451616239"/>
  </r>
  <r>
    <x v="484"/>
    <n v="234466.18331517366"/>
    <n v="1.496313450453072"/>
    <n v="350834.90377088997"/>
    <n v="240000"/>
    <n v="0.4618120990453749"/>
  </r>
  <r>
    <x v="485"/>
    <n v="234466.18331517366"/>
    <n v="1.4744875292161743"/>
    <n v="345717.46332113701"/>
    <n v="240000"/>
    <n v="0.44048943050473754"/>
  </r>
  <r>
    <x v="486"/>
    <n v="234466.18331517366"/>
    <n v="1.4733560698095904"/>
    <n v="345452.17435249925"/>
    <n v="240000"/>
    <n v="0.43938405980208023"/>
  </r>
  <r>
    <x v="487"/>
    <n v="234466.18331517366"/>
    <n v="1.4703223853574892"/>
    <n v="344740.8779376325"/>
    <n v="240000"/>
    <n v="0.43642032474013542"/>
  </r>
  <r>
    <x v="488"/>
    <n v="234466.18331517366"/>
    <n v="1.4716654271401506"/>
    <n v="345055.77581844589"/>
    <n v="240000"/>
    <n v="0.43773239924352458"/>
  </r>
  <r>
    <x v="489"/>
    <n v="234466.18331517366"/>
    <n v="1.4740253434153989"/>
    <n v="345609.09638044675"/>
    <n v="240000"/>
    <n v="0.44003790158519479"/>
  </r>
  <r>
    <x v="490"/>
    <n v="234466.18331517366"/>
    <n v="1.4702368255992297"/>
    <n v="344720.81706766802"/>
    <n v="240000"/>
    <n v="0.43633673778195009"/>
  </r>
  <r>
    <x v="491"/>
    <n v="234466.18331517366"/>
    <n v="1.4718555325153886"/>
    <n v="345100.34910020564"/>
    <n v="240000"/>
    <n v="0.43791812125085683"/>
  </r>
  <r>
    <x v="492"/>
    <n v="234466.18331517366"/>
    <n v="1.4679957389829923"/>
    <n v="344195.35804228007"/>
    <n v="240000"/>
    <n v="0.434147325176167"/>
  </r>
  <r>
    <x v="493"/>
    <n v="234466.18331517366"/>
    <n v="1.4730860148749989"/>
    <n v="345388.85560270015"/>
    <n v="240000"/>
    <n v="0.43912023167791731"/>
  </r>
  <r>
    <x v="494"/>
    <n v="234466.18331517366"/>
    <n v="1.4423309265257036"/>
    <n v="338177.82741991989"/>
    <n v="240000"/>
    <n v="0.40907428091633291"/>
  </r>
  <r>
    <x v="495"/>
    <n v="234466.18331517366"/>
    <n v="1.441974197587744"/>
    <n v="338094.18654735846"/>
    <n v="240000"/>
    <n v="0.40872577728066029"/>
  </r>
  <r>
    <x v="496"/>
    <n v="234466.18331517366"/>
    <n v="1.4242312156714616"/>
    <n v="333934.05729681754"/>
    <n v="240000"/>
    <n v="0.3913919054034064"/>
  </r>
  <r>
    <x v="497"/>
    <n v="234466.18331517366"/>
    <n v="1.4424315227285756"/>
    <n v="338201.41382766329"/>
    <n v="240000"/>
    <n v="0.40917255761526372"/>
  </r>
  <r>
    <x v="498"/>
    <n v="234466.18331517366"/>
    <n v="1.4438059433497326"/>
    <n v="338523.66898497567"/>
    <n v="240000"/>
    <n v="0.41051528743739862"/>
  </r>
  <r>
    <x v="499"/>
    <n v="234466.18331517366"/>
    <n v="1.4305645137777103"/>
    <n v="335419.00153158692"/>
    <n v="240000"/>
    <n v="0.39757917304827883"/>
  </r>
  <r>
    <x v="500"/>
    <n v="234466.18331517366"/>
    <n v="1.4466076081822496"/>
    <n v="339180.56464518426"/>
    <n v="240000"/>
    <n v="0.41325235268826777"/>
  </r>
  <r>
    <x v="501"/>
    <n v="234466.18331517366"/>
    <n v="1.4455959236587508"/>
    <n v="338943.35883624043"/>
    <n v="240000"/>
    <n v="0.41226399515100176"/>
  </r>
  <r>
    <x v="502"/>
    <n v="234466.18331517366"/>
    <n v="1.4860774648536414"/>
    <n v="348434.91129492247"/>
    <n v="240000"/>
    <n v="0.45181213039551027"/>
  </r>
  <r>
    <x v="503"/>
    <n v="234466.18331517366"/>
    <n v="1.4394938756540396"/>
    <n v="337512.63493016985"/>
    <n v="240000"/>
    <n v="0.40630264554237439"/>
  </r>
  <r>
    <x v="504"/>
    <n v="234466.18331517366"/>
    <n v="1.4726128141906143"/>
    <n v="345277.90604429034"/>
    <n v="240000"/>
    <n v="0.43865794185120977"/>
  </r>
  <r>
    <x v="505"/>
    <n v="234466.18331517366"/>
    <n v="1.464667305367638"/>
    <n v="343414.95291607006"/>
    <n v="240000"/>
    <n v="0.43089563715029194"/>
  </r>
  <r>
    <x v="506"/>
    <n v="234466.18331517366"/>
    <n v="1.4842833459546485"/>
    <n v="348014.25108426192"/>
    <n v="240000"/>
    <n v="0.45005937951775804"/>
  </r>
  <r>
    <x v="507"/>
    <n v="234466.18331517366"/>
    <n v="1.4769923474720816"/>
    <n v="346304.75849749777"/>
    <n v="240000"/>
    <n v="0.442936493739574"/>
  </r>
  <r>
    <x v="508"/>
    <n v="234466.18331517366"/>
    <n v="1.4591837831379497"/>
    <n v="342129.25238775113"/>
    <n v="240000"/>
    <n v="0.4255385516156297"/>
  </r>
  <r>
    <x v="509"/>
    <n v="234466.18331517366"/>
    <n v="1.4986604571691937"/>
    <n v="351385.19747783412"/>
    <n v="240000"/>
    <n v="0.46410498949097551"/>
  </r>
  <r>
    <x v="510"/>
    <n v="234466.18331517366"/>
    <n v="1.5505244346320113"/>
    <n v="363545.54632508516"/>
    <n v="240000"/>
    <n v="0.51477310968785484"/>
  </r>
  <r>
    <x v="511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59890B-BEF9-48B9-B386-D223B24C0A68}" name="数据透视表2" cacheId="3" applyNumberFormats="0" applyBorderFormats="0" applyFontFormats="0" applyPatternFormats="0" applyAlignmentFormats="0" applyWidthHeightFormats="1" dataCaption="值" updatedVersion="6" minRefreshableVersion="3" useAutoFormatting="1" itemPrintTitles="1" createdVersion="6" indent="0" outline="1" outlineData="1" multipleFieldFilters="0" chartFormat="1">
  <location ref="A3:C516" firstHeaderRow="0" firstDataRow="1" firstDataCol="1"/>
  <pivotFields count="7">
    <pivotField axis="axisRow" showAll="0" defaultSubtotal="0">
      <items count="51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</items>
    </pivotField>
    <pivotField showAll="0"/>
    <pivotField showAll="0"/>
    <pivotField showAll="0"/>
    <pivotField dataField="1" showAll="0"/>
    <pivotField showAll="0"/>
    <pivotField dataField="1" dragToRow="0" dragToCol="0" dragToPage="0" showAll="0" defaultSubtotal="0"/>
  </pivotFields>
  <rowFields count="1">
    <field x="0"/>
  </rowFields>
  <rowItems count="5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 t="grand">
      <x/>
    </i>
  </rowItems>
  <colFields count="1">
    <field x="-2"/>
  </colFields>
  <colItems count="2">
    <i>
      <x/>
    </i>
    <i i="1">
      <x v="1"/>
    </i>
  </colItems>
  <dataFields count="2">
    <dataField name="求和项:盈利金额" fld="6" baseField="0" baseItem="0"/>
    <dataField name="求和项:原始金额" fld="4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AB1E3C5-F2A9-4E07-9E70-827DDAAAFD65}" autoFormatId="16" applyNumberFormats="0" applyBorderFormats="0" applyFontFormats="0" applyPatternFormats="0" applyAlignmentFormats="0" applyWidthHeightFormats="0">
  <queryTableRefresh nextId="9">
    <queryTableFields count="8">
      <queryTableField id="1" name="Column1" tableColumnId="1"/>
      <queryTableField id="2" name="持仓金额" tableColumnId="2"/>
      <queryTableField id="3" name="账面现金" tableColumnId="3"/>
      <queryTableField id="4" name="基金申赎" tableColumnId="4"/>
      <queryTableField id="5" name="总资产" tableColumnId="5"/>
      <queryTableField id="6" name="份额确认" tableColumnId="6"/>
      <queryTableField id="7" name="基金份额" tableColumnId="7"/>
      <queryTableField id="8" name="基金净值" tableColumnId="8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切片器_净值日期" xr10:uid="{8155394A-FC6A-47DC-8BE5-074A9E4EE15E}" sourceName="净值日期">
  <pivotTables>
    <pivotTable tabId="5" name="数据透视表2"/>
  </pivotTables>
  <data>
    <tabular pivotCacheId="2059813454">
      <items count="512">
        <i x="0" s="1"/>
        <i x="1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13" s="1"/>
        <i x="14" s="1"/>
        <i x="15" s="1"/>
        <i x="16" s="1"/>
        <i x="17" s="1"/>
        <i x="18" s="1"/>
        <i x="19" s="1"/>
        <i x="20" s="1"/>
        <i x="21" s="1"/>
        <i x="22" s="1"/>
        <i x="23" s="1"/>
        <i x="24" s="1"/>
        <i x="25" s="1"/>
        <i x="26" s="1"/>
        <i x="27" s="1"/>
        <i x="28" s="1"/>
        <i x="29" s="1"/>
        <i x="30" s="1"/>
        <i x="31" s="1"/>
        <i x="32" s="1"/>
        <i x="33" s="1"/>
        <i x="34" s="1"/>
        <i x="35" s="1"/>
        <i x="36" s="1"/>
        <i x="37" s="1"/>
        <i x="38" s="1"/>
        <i x="39" s="1"/>
        <i x="40" s="1"/>
        <i x="41" s="1"/>
        <i x="42" s="1"/>
        <i x="43" s="1"/>
        <i x="44" s="1"/>
        <i x="45" s="1"/>
        <i x="46" s="1"/>
        <i x="47" s="1"/>
        <i x="48" s="1"/>
        <i x="49" s="1"/>
        <i x="50" s="1"/>
        <i x="51" s="1"/>
        <i x="52" s="1"/>
        <i x="53" s="1"/>
        <i x="54" s="1"/>
        <i x="55" s="1"/>
        <i x="56" s="1"/>
        <i x="57" s="1"/>
        <i x="58" s="1"/>
        <i x="59" s="1"/>
        <i x="60" s="1"/>
        <i x="61" s="1"/>
        <i x="62" s="1"/>
        <i x="63" s="1"/>
        <i x="64" s="1"/>
        <i x="65" s="1"/>
        <i x="66" s="1"/>
        <i x="67" s="1"/>
        <i x="68" s="1"/>
        <i x="69" s="1"/>
        <i x="70" s="1"/>
        <i x="71" s="1"/>
        <i x="72" s="1"/>
        <i x="73" s="1"/>
        <i x="74" s="1"/>
        <i x="75" s="1"/>
        <i x="76" s="1"/>
        <i x="77" s="1"/>
        <i x="78" s="1"/>
        <i x="79" s="1"/>
        <i x="80" s="1"/>
        <i x="81" s="1"/>
        <i x="82" s="1"/>
        <i x="83" s="1"/>
        <i x="84" s="1"/>
        <i x="85" s="1"/>
        <i x="86" s="1"/>
        <i x="87" s="1"/>
        <i x="88" s="1"/>
        <i x="89" s="1"/>
        <i x="90" s="1"/>
        <i x="91" s="1"/>
        <i x="92" s="1"/>
        <i x="93" s="1"/>
        <i x="94" s="1"/>
        <i x="95" s="1"/>
        <i x="96" s="1"/>
        <i x="97" s="1"/>
        <i x="98" s="1"/>
        <i x="99" s="1"/>
        <i x="100" s="1"/>
        <i x="101" s="1"/>
        <i x="102" s="1"/>
        <i x="103" s="1"/>
        <i x="104" s="1"/>
        <i x="105" s="1"/>
        <i x="106" s="1"/>
        <i x="107" s="1"/>
        <i x="108" s="1"/>
        <i x="109" s="1"/>
        <i x="110" s="1"/>
        <i x="111" s="1"/>
        <i x="112" s="1"/>
        <i x="113" s="1"/>
        <i x="114" s="1"/>
        <i x="115" s="1"/>
        <i x="116" s="1"/>
        <i x="117" s="1"/>
        <i x="118" s="1"/>
        <i x="119" s="1"/>
        <i x="120" s="1"/>
        <i x="121" s="1"/>
        <i x="122" s="1"/>
        <i x="123" s="1"/>
        <i x="124" s="1"/>
        <i x="125" s="1"/>
        <i x="126" s="1"/>
        <i x="127" s="1"/>
        <i x="128" s="1"/>
        <i x="129" s="1"/>
        <i x="130" s="1"/>
        <i x="131" s="1"/>
        <i x="132" s="1"/>
        <i x="133" s="1"/>
        <i x="134" s="1"/>
        <i x="135" s="1"/>
        <i x="136" s="1"/>
        <i x="137" s="1"/>
        <i x="138" s="1"/>
        <i x="139" s="1"/>
        <i x="140" s="1"/>
        <i x="141" s="1"/>
        <i x="142" s="1"/>
        <i x="143" s="1"/>
        <i x="144" s="1"/>
        <i x="145" s="1"/>
        <i x="146" s="1"/>
        <i x="147" s="1"/>
        <i x="148" s="1"/>
        <i x="149" s="1"/>
        <i x="150" s="1"/>
        <i x="151" s="1"/>
        <i x="152" s="1"/>
        <i x="153" s="1"/>
        <i x="154" s="1"/>
        <i x="155" s="1"/>
        <i x="156" s="1"/>
        <i x="157" s="1"/>
        <i x="158" s="1"/>
        <i x="159" s="1"/>
        <i x="160" s="1"/>
        <i x="161" s="1"/>
        <i x="162" s="1"/>
        <i x="163" s="1"/>
        <i x="164" s="1"/>
        <i x="165" s="1"/>
        <i x="166" s="1"/>
        <i x="167" s="1"/>
        <i x="168" s="1"/>
        <i x="169" s="1"/>
        <i x="170" s="1"/>
        <i x="171" s="1"/>
        <i x="172" s="1"/>
        <i x="173" s="1"/>
        <i x="174" s="1"/>
        <i x="175" s="1"/>
        <i x="176" s="1"/>
        <i x="177" s="1"/>
        <i x="178" s="1"/>
        <i x="179" s="1"/>
        <i x="180" s="1"/>
        <i x="181" s="1"/>
        <i x="182" s="1"/>
        <i x="183" s="1"/>
        <i x="184" s="1"/>
        <i x="185" s="1"/>
        <i x="186" s="1"/>
        <i x="187" s="1"/>
        <i x="188" s="1"/>
        <i x="189" s="1"/>
        <i x="190" s="1"/>
        <i x="191" s="1"/>
        <i x="192" s="1"/>
        <i x="193" s="1"/>
        <i x="194" s="1"/>
        <i x="195" s="1"/>
        <i x="196" s="1"/>
        <i x="197" s="1"/>
        <i x="198" s="1"/>
        <i x="199" s="1"/>
        <i x="200" s="1"/>
        <i x="201" s="1"/>
        <i x="202" s="1"/>
        <i x="203" s="1"/>
        <i x="204" s="1"/>
        <i x="205" s="1"/>
        <i x="206" s="1"/>
        <i x="207" s="1"/>
        <i x="208" s="1"/>
        <i x="209" s="1"/>
        <i x="210" s="1"/>
        <i x="211" s="1"/>
        <i x="212" s="1"/>
        <i x="213" s="1"/>
        <i x="214" s="1"/>
        <i x="215" s="1"/>
        <i x="216" s="1"/>
        <i x="217" s="1"/>
        <i x="218" s="1"/>
        <i x="219" s="1"/>
        <i x="220" s="1"/>
        <i x="221" s="1"/>
        <i x="222" s="1"/>
        <i x="223" s="1"/>
        <i x="224" s="1"/>
        <i x="225" s="1"/>
        <i x="226" s="1"/>
        <i x="227" s="1"/>
        <i x="228" s="1"/>
        <i x="229" s="1"/>
        <i x="230" s="1"/>
        <i x="231" s="1"/>
        <i x="232" s="1"/>
        <i x="233" s="1"/>
        <i x="234" s="1"/>
        <i x="235" s="1"/>
        <i x="236" s="1"/>
        <i x="237" s="1"/>
        <i x="238" s="1"/>
        <i x="239" s="1"/>
        <i x="240" s="1"/>
        <i x="241" s="1"/>
        <i x="242" s="1"/>
        <i x="243" s="1"/>
        <i x="244" s="1"/>
        <i x="245" s="1"/>
        <i x="246" s="1"/>
        <i x="247" s="1"/>
        <i x="248" s="1"/>
        <i x="249" s="1"/>
        <i x="250" s="1"/>
        <i x="251" s="1"/>
        <i x="252" s="1"/>
        <i x="253" s="1"/>
        <i x="254" s="1"/>
        <i x="255" s="1"/>
        <i x="256" s="1"/>
        <i x="257" s="1"/>
        <i x="258" s="1"/>
        <i x="259" s="1"/>
        <i x="260" s="1"/>
        <i x="261" s="1"/>
        <i x="262" s="1"/>
        <i x="263" s="1"/>
        <i x="264" s="1"/>
        <i x="265" s="1"/>
        <i x="266" s="1"/>
        <i x="267" s="1"/>
        <i x="268" s="1"/>
        <i x="269" s="1"/>
        <i x="270" s="1"/>
        <i x="271" s="1"/>
        <i x="272" s="1"/>
        <i x="273" s="1"/>
        <i x="274" s="1"/>
        <i x="275" s="1"/>
        <i x="276" s="1"/>
        <i x="277" s="1"/>
        <i x="278" s="1"/>
        <i x="279" s="1"/>
        <i x="280" s="1"/>
        <i x="281" s="1"/>
        <i x="282" s="1"/>
        <i x="283" s="1"/>
        <i x="284" s="1"/>
        <i x="285" s="1"/>
        <i x="286" s="1"/>
        <i x="287" s="1"/>
        <i x="288" s="1"/>
        <i x="289" s="1"/>
        <i x="290" s="1"/>
        <i x="291" s="1"/>
        <i x="292" s="1"/>
        <i x="293" s="1"/>
        <i x="294" s="1"/>
        <i x="295" s="1"/>
        <i x="296" s="1"/>
        <i x="297" s="1"/>
        <i x="298" s="1"/>
        <i x="299" s="1"/>
        <i x="300" s="1"/>
        <i x="301" s="1"/>
        <i x="302" s="1"/>
        <i x="303" s="1"/>
        <i x="304" s="1"/>
        <i x="305" s="1"/>
        <i x="306" s="1"/>
        <i x="307" s="1"/>
        <i x="308" s="1"/>
        <i x="309" s="1"/>
        <i x="310" s="1"/>
        <i x="311" s="1"/>
        <i x="312" s="1"/>
        <i x="313" s="1"/>
        <i x="314" s="1"/>
        <i x="315" s="1"/>
        <i x="316" s="1"/>
        <i x="317" s="1"/>
        <i x="318" s="1"/>
        <i x="319" s="1"/>
        <i x="320" s="1"/>
        <i x="321" s="1"/>
        <i x="322" s="1"/>
        <i x="323" s="1"/>
        <i x="324" s="1"/>
        <i x="325" s="1"/>
        <i x="326" s="1"/>
        <i x="327" s="1"/>
        <i x="328" s="1"/>
        <i x="329" s="1"/>
        <i x="330" s="1"/>
        <i x="331" s="1"/>
        <i x="332" s="1"/>
        <i x="333" s="1"/>
        <i x="334" s="1"/>
        <i x="335" s="1"/>
        <i x="336" s="1"/>
        <i x="337" s="1"/>
        <i x="338" s="1"/>
        <i x="339" s="1"/>
        <i x="340" s="1"/>
        <i x="341" s="1"/>
        <i x="342" s="1"/>
        <i x="343" s="1"/>
        <i x="344" s="1"/>
        <i x="345" s="1"/>
        <i x="346" s="1"/>
        <i x="347" s="1"/>
        <i x="348" s="1"/>
        <i x="349" s="1"/>
        <i x="350" s="1"/>
        <i x="351" s="1"/>
        <i x="352" s="1"/>
        <i x="353" s="1"/>
        <i x="354" s="1"/>
        <i x="355" s="1"/>
        <i x="356" s="1"/>
        <i x="357" s="1"/>
        <i x="358" s="1"/>
        <i x="359" s="1"/>
        <i x="360" s="1"/>
        <i x="361" s="1"/>
        <i x="362" s="1"/>
        <i x="363" s="1"/>
        <i x="364" s="1"/>
        <i x="365" s="1"/>
        <i x="366" s="1"/>
        <i x="367" s="1"/>
        <i x="368" s="1"/>
        <i x="369" s="1"/>
        <i x="370" s="1"/>
        <i x="371" s="1"/>
        <i x="372" s="1"/>
        <i x="373" s="1"/>
        <i x="374" s="1"/>
        <i x="375" s="1"/>
        <i x="376" s="1"/>
        <i x="377" s="1"/>
        <i x="378" s="1"/>
        <i x="379" s="1"/>
        <i x="380" s="1"/>
        <i x="381" s="1"/>
        <i x="382" s="1"/>
        <i x="383" s="1"/>
        <i x="384" s="1"/>
        <i x="385" s="1"/>
        <i x="386" s="1"/>
        <i x="387" s="1"/>
        <i x="388" s="1"/>
        <i x="389" s="1"/>
        <i x="390" s="1"/>
        <i x="391" s="1"/>
        <i x="392" s="1"/>
        <i x="393" s="1"/>
        <i x="394" s="1"/>
        <i x="395" s="1"/>
        <i x="396" s="1"/>
        <i x="397" s="1"/>
        <i x="398" s="1"/>
        <i x="399" s="1"/>
        <i x="400" s="1"/>
        <i x="401" s="1"/>
        <i x="402" s="1"/>
        <i x="403" s="1"/>
        <i x="404" s="1"/>
        <i x="405" s="1"/>
        <i x="406" s="1"/>
        <i x="407" s="1"/>
        <i x="408" s="1"/>
        <i x="409" s="1"/>
        <i x="410" s="1"/>
        <i x="411" s="1"/>
        <i x="412" s="1"/>
        <i x="413" s="1"/>
        <i x="414" s="1"/>
        <i x="415" s="1"/>
        <i x="416" s="1"/>
        <i x="417" s="1"/>
        <i x="418" s="1"/>
        <i x="419" s="1"/>
        <i x="420" s="1"/>
        <i x="421" s="1"/>
        <i x="422" s="1"/>
        <i x="423" s="1"/>
        <i x="424" s="1"/>
        <i x="425" s="1"/>
        <i x="426" s="1"/>
        <i x="427" s="1"/>
        <i x="428" s="1"/>
        <i x="429" s="1"/>
        <i x="430" s="1"/>
        <i x="431" s="1"/>
        <i x="432" s="1"/>
        <i x="433" s="1"/>
        <i x="434" s="1"/>
        <i x="435" s="1"/>
        <i x="436" s="1"/>
        <i x="437" s="1"/>
        <i x="438" s="1"/>
        <i x="439" s="1"/>
        <i x="440" s="1"/>
        <i x="441" s="1"/>
        <i x="442" s="1"/>
        <i x="443" s="1"/>
        <i x="444" s="1"/>
        <i x="445" s="1"/>
        <i x="446" s="1"/>
        <i x="447" s="1"/>
        <i x="448" s="1"/>
        <i x="449" s="1"/>
        <i x="450" s="1"/>
        <i x="451" s="1"/>
        <i x="452" s="1"/>
        <i x="453" s="1"/>
        <i x="454" s="1"/>
        <i x="455" s="1"/>
        <i x="456" s="1"/>
        <i x="457" s="1"/>
        <i x="458" s="1"/>
        <i x="459" s="1"/>
        <i x="460" s="1"/>
        <i x="461" s="1"/>
        <i x="462" s="1"/>
        <i x="463" s="1"/>
        <i x="464" s="1"/>
        <i x="465" s="1"/>
        <i x="466" s="1"/>
        <i x="467" s="1"/>
        <i x="468" s="1"/>
        <i x="469" s="1"/>
        <i x="470" s="1"/>
        <i x="471" s="1"/>
        <i x="472" s="1"/>
        <i x="473" s="1"/>
        <i x="474" s="1"/>
        <i x="475" s="1"/>
        <i x="476" s="1"/>
        <i x="477" s="1"/>
        <i x="478" s="1"/>
        <i x="479" s="1"/>
        <i x="480" s="1"/>
        <i x="481" s="1"/>
        <i x="482" s="1"/>
        <i x="483" s="1"/>
        <i x="484" s="1"/>
        <i x="485" s="1"/>
        <i x="486" s="1"/>
        <i x="487" s="1"/>
        <i x="488" s="1"/>
        <i x="489" s="1"/>
        <i x="490" s="1"/>
        <i x="491" s="1"/>
        <i x="492" s="1"/>
        <i x="493" s="1"/>
        <i x="494" s="1"/>
        <i x="495" s="1"/>
        <i x="496" s="1"/>
        <i x="497" s="1"/>
        <i x="498" s="1"/>
        <i x="499" s="1"/>
        <i x="500" s="1"/>
        <i x="501" s="1"/>
        <i x="502" s="1"/>
        <i x="503" s="1"/>
        <i x="504" s="1"/>
        <i x="505" s="1"/>
        <i x="506" s="1"/>
        <i x="507" s="1"/>
        <i x="508" s="1"/>
        <i x="509" s="1"/>
        <i x="510" s="1"/>
        <i x="51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净值日期" xr10:uid="{1CA6D3F9-5E4C-439C-B33C-542DB7FAC53C}" cache="切片器_净值日期" caption="净值日期" startItem="498" rowHeight="20955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DC857D-920C-45BB-B9E5-6FF75D836CDA}" name="表2" displayName="表2" ref="A1:F245" totalsRowShown="0">
  <autoFilter ref="A1:F245" xr:uid="{05B4490A-5D17-4434-9E62-C95EDBFBE3A1}"/>
  <tableColumns count="6">
    <tableColumn id="1" xr3:uid="{1BA86C6F-6C85-4B97-80F0-BC827EE95F21}" name="净值日期" dataDxfId="1"/>
    <tableColumn id="2" xr3:uid="{918262F7-7FA4-4C21-9486-8FFFBEFECEA1}" name="总份额"/>
    <tableColumn id="3" xr3:uid="{6D8AD0ED-D56C-438A-86EA-B77C87BAA070}" name="基金净值"/>
    <tableColumn id="4" xr3:uid="{39C8BE60-9624-457F-BDCE-ED9B91CAD9C4}" name="基金总金额"/>
    <tableColumn id="5" xr3:uid="{5CD8CC00-75EE-45C5-81C5-D590FFE4F0DA}" name="原始金额"/>
    <tableColumn id="6" xr3:uid="{D288267C-5E9F-4ADF-AF66-9DA5C919F8FF}" name="盈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F9B26D-4C2A-4242-929E-F9D8A39BB5F1}" name="fund_value_simple" displayName="fund_value_simple" ref="A1:H746" tableType="queryTable" totalsRowShown="0">
  <autoFilter ref="A1:H746" xr:uid="{F89A3988-4C2B-406A-8FEF-D49657D1840A}"/>
  <tableColumns count="8">
    <tableColumn id="1" xr3:uid="{B1D306C2-4CCB-4974-A7C6-F0BFBD42C7D0}" uniqueName="1" name="Column1" queryTableFieldId="1" dataDxfId="0"/>
    <tableColumn id="2" xr3:uid="{BF81A543-C110-437C-811A-7413A8A86CDF}" uniqueName="2" name="持仓金额" queryTableFieldId="2"/>
    <tableColumn id="3" xr3:uid="{548E4F99-48AC-4912-BE6E-D0DBFD529B7C}" uniqueName="3" name="账面现金" queryTableFieldId="3"/>
    <tableColumn id="4" xr3:uid="{DB709676-CE0C-4F23-BE4B-D7402731C635}" uniqueName="4" name="基金申赎" queryTableFieldId="4"/>
    <tableColumn id="5" xr3:uid="{9FA839EE-30D7-4F60-992F-FF19C886D090}" uniqueName="5" name="总资产" queryTableFieldId="5"/>
    <tableColumn id="6" xr3:uid="{172576BC-4363-402D-83BA-FAF055B67387}" uniqueName="6" name="份额确认" queryTableFieldId="6"/>
    <tableColumn id="7" xr3:uid="{4C34ED84-1407-4D96-B0D8-C01598E155DE}" uniqueName="7" name="基金份额" queryTableFieldId="7"/>
    <tableColumn id="8" xr3:uid="{99D35C70-D7D9-465F-9984-045498C6BB09}" uniqueName="8" name="基金净值" queryTableField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"/>
  <sheetViews>
    <sheetView tabSelected="1" workbookViewId="0">
      <selection activeCell="F6" sqref="F6"/>
    </sheetView>
  </sheetViews>
  <sheetFormatPr defaultRowHeight="14.1" x14ac:dyDescent="0.5"/>
  <cols>
    <col min="1" max="1" width="10.34765625" bestFit="1" customWidth="1"/>
    <col min="4" max="4" width="17.44921875" customWidth="1"/>
  </cols>
  <sheetData>
    <row r="1" spans="1:7" x14ac:dyDescent="0.5">
      <c r="A1" s="7" t="s">
        <v>0</v>
      </c>
      <c r="B1" s="7" t="s">
        <v>2</v>
      </c>
      <c r="C1" s="7" t="s">
        <v>3</v>
      </c>
      <c r="D1" s="7" t="s">
        <v>6</v>
      </c>
      <c r="E1" s="7" t="s">
        <v>5</v>
      </c>
      <c r="F1" s="7" t="s">
        <v>7</v>
      </c>
      <c r="G1" s="7" t="s">
        <v>8</v>
      </c>
    </row>
    <row r="2" spans="1:7" x14ac:dyDescent="0.5">
      <c r="A2" s="1">
        <v>43431</v>
      </c>
      <c r="B2" t="s">
        <v>1</v>
      </c>
      <c r="C2">
        <v>30000</v>
      </c>
      <c r="D2" s="11">
        <v>0.78987832982762307</v>
      </c>
      <c r="E2" s="2">
        <f>C2/D2</f>
        <v>37980.533035444794</v>
      </c>
      <c r="F2">
        <v>30000</v>
      </c>
      <c r="G2" s="2">
        <v>37980.533035444794</v>
      </c>
    </row>
    <row r="3" spans="1:7" x14ac:dyDescent="0.5">
      <c r="A3" s="1">
        <v>43468</v>
      </c>
      <c r="B3" t="s">
        <v>1</v>
      </c>
      <c r="C3">
        <v>60000</v>
      </c>
      <c r="D3" s="2">
        <v>0.75417776413612547</v>
      </c>
      <c r="E3" s="2">
        <f t="shared" ref="E3:E4" si="0">C3/D3</f>
        <v>79556.84038063245</v>
      </c>
      <c r="F3">
        <v>90000</v>
      </c>
      <c r="G3">
        <f>G2+E3</f>
        <v>117537.37341607724</v>
      </c>
    </row>
    <row r="4" spans="1:7" x14ac:dyDescent="0.5">
      <c r="A4" s="1">
        <v>43921</v>
      </c>
      <c r="B4" t="s">
        <v>1</v>
      </c>
      <c r="C4">
        <v>100000</v>
      </c>
      <c r="D4" s="2">
        <v>1.2347331931180399</v>
      </c>
      <c r="E4" s="2">
        <f t="shared" si="0"/>
        <v>80989.156651302605</v>
      </c>
      <c r="F4">
        <v>190000</v>
      </c>
      <c r="G4">
        <f t="shared" ref="G4:G5" si="1">G3+E4</f>
        <v>198526.53006737985</v>
      </c>
    </row>
    <row r="5" spans="1:7" x14ac:dyDescent="0.5">
      <c r="A5" s="1">
        <v>44011</v>
      </c>
      <c r="B5" t="s">
        <v>13</v>
      </c>
      <c r="C5">
        <v>50000</v>
      </c>
      <c r="D5">
        <v>1.3912209907887547</v>
      </c>
      <c r="E5" s="2">
        <f>C5/D5</f>
        <v>35939.653247793816</v>
      </c>
      <c r="F5">
        <v>240000</v>
      </c>
      <c r="G5">
        <f t="shared" si="1"/>
        <v>234466.18331517366</v>
      </c>
    </row>
    <row r="6" spans="1:7" x14ac:dyDescent="0.5">
      <c r="A6" s="1">
        <v>44292</v>
      </c>
      <c r="B6" t="s">
        <v>1</v>
      </c>
      <c r="C6">
        <v>100000</v>
      </c>
      <c r="F6">
        <v>340000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591ED-AC3E-4157-A64D-5C6E379DCA67}">
  <dimension ref="A1:F245"/>
  <sheetViews>
    <sheetView workbookViewId="0">
      <selection activeCell="F5" sqref="F5"/>
    </sheetView>
  </sheetViews>
  <sheetFormatPr defaultRowHeight="14.1" x14ac:dyDescent="0.5"/>
  <cols>
    <col min="1" max="1" width="9.796875" customWidth="1"/>
    <col min="3" max="3" width="9.796875" customWidth="1"/>
    <col min="4" max="4" width="11.6484375" customWidth="1"/>
    <col min="5" max="5" width="9.796875" customWidth="1"/>
  </cols>
  <sheetData>
    <row r="1" spans="1:6" x14ac:dyDescent="0.5">
      <c r="A1" t="s">
        <v>26</v>
      </c>
      <c r="B1" t="s">
        <v>27</v>
      </c>
      <c r="C1" t="s">
        <v>21</v>
      </c>
      <c r="D1" t="s">
        <v>28</v>
      </c>
      <c r="E1" t="s">
        <v>29</v>
      </c>
      <c r="F1" t="s">
        <v>30</v>
      </c>
    </row>
    <row r="2" spans="1:6" x14ac:dyDescent="0.5">
      <c r="A2" s="1">
        <v>43853</v>
      </c>
      <c r="B2">
        <v>117537.37341607724</v>
      </c>
      <c r="C2">
        <v>1.1497616887780098</v>
      </c>
      <c r="D2">
        <v>135139.96895340053</v>
      </c>
      <c r="E2">
        <v>90000</v>
      </c>
      <c r="F2">
        <v>0.50155521059333918</v>
      </c>
    </row>
    <row r="3" spans="1:6" x14ac:dyDescent="0.5">
      <c r="A3" s="1">
        <v>43852</v>
      </c>
      <c r="B3">
        <v>117537.37341607724</v>
      </c>
      <c r="C3">
        <v>1.1802066210734334</v>
      </c>
      <c r="D3">
        <v>138718.38632923493</v>
      </c>
      <c r="E3">
        <v>90000</v>
      </c>
      <c r="F3">
        <v>0.54131540365816588</v>
      </c>
    </row>
    <row r="4" spans="1:6" x14ac:dyDescent="0.5">
      <c r="A4" s="1">
        <v>43851</v>
      </c>
      <c r="B4">
        <v>117537.37341607724</v>
      </c>
      <c r="C4">
        <v>1.1648075388440997</v>
      </c>
      <c r="D4">
        <v>136908.41865098084</v>
      </c>
      <c r="E4">
        <v>90000</v>
      </c>
      <c r="F4">
        <v>0.5212046516775648</v>
      </c>
    </row>
    <row r="5" spans="1:6" x14ac:dyDescent="0.5">
      <c r="A5" s="1">
        <v>43850</v>
      </c>
      <c r="B5">
        <v>117537.37341607724</v>
      </c>
      <c r="C5">
        <v>1.1745293501528082</v>
      </c>
      <c r="D5">
        <v>138051.09481705318</v>
      </c>
      <c r="E5">
        <v>90000</v>
      </c>
      <c r="F5">
        <v>0.53390105352281303</v>
      </c>
    </row>
    <row r="6" spans="1:6" x14ac:dyDescent="0.5">
      <c r="A6" s="1">
        <v>43847</v>
      </c>
      <c r="B6">
        <v>117537.37341607724</v>
      </c>
      <c r="C6">
        <v>1.1453251797561812</v>
      </c>
      <c r="D6">
        <v>134618.51333583807</v>
      </c>
      <c r="E6">
        <v>90000</v>
      </c>
      <c r="F6">
        <v>0.49576125928708964</v>
      </c>
    </row>
    <row r="7" spans="1:6" x14ac:dyDescent="0.5">
      <c r="A7" s="1">
        <v>43846</v>
      </c>
      <c r="B7">
        <v>117537.37341607724</v>
      </c>
      <c r="C7">
        <v>1.1466194624601693</v>
      </c>
      <c r="D7">
        <v>134770.6399253227</v>
      </c>
      <c r="E7">
        <v>90000</v>
      </c>
      <c r="F7">
        <v>0.49745155472580777</v>
      </c>
    </row>
    <row r="8" spans="1:6" x14ac:dyDescent="0.5">
      <c r="A8" s="1">
        <v>43845</v>
      </c>
      <c r="B8">
        <v>117537.37341607724</v>
      </c>
      <c r="C8">
        <v>1.1478037004641124</v>
      </c>
      <c r="D8">
        <v>134909.83214980565</v>
      </c>
      <c r="E8">
        <v>90000</v>
      </c>
      <c r="F8">
        <v>0.49899813499784051</v>
      </c>
    </row>
    <row r="9" spans="1:6" x14ac:dyDescent="0.5">
      <c r="A9" s="1">
        <v>43844</v>
      </c>
      <c r="B9">
        <v>117537.37341607724</v>
      </c>
      <c r="C9">
        <v>1.1448915643801389</v>
      </c>
      <c r="D9">
        <v>134567.54732346523</v>
      </c>
      <c r="E9">
        <v>90000</v>
      </c>
      <c r="F9">
        <v>0.49519497026072479</v>
      </c>
    </row>
    <row r="10" spans="1:6" x14ac:dyDescent="0.5">
      <c r="A10" s="1">
        <v>43843</v>
      </c>
      <c r="B10">
        <v>117537.37341607724</v>
      </c>
      <c r="C10">
        <v>1.1516244005148013</v>
      </c>
      <c r="D10">
        <v>135358.90719837431</v>
      </c>
      <c r="E10">
        <v>90000</v>
      </c>
      <c r="F10">
        <v>0.50398785775971455</v>
      </c>
    </row>
    <row r="11" spans="1:6" x14ac:dyDescent="0.5">
      <c r="A11" s="1">
        <v>43840</v>
      </c>
      <c r="B11">
        <v>117537.37341607724</v>
      </c>
      <c r="C11">
        <v>1.1346733455597804</v>
      </c>
      <c r="D11">
        <v>133366.52472232957</v>
      </c>
      <c r="E11">
        <v>90000</v>
      </c>
      <c r="F11">
        <v>0.48185027469255082</v>
      </c>
    </row>
    <row r="12" spans="1:6" x14ac:dyDescent="0.5">
      <c r="A12" s="1">
        <v>43839</v>
      </c>
      <c r="B12">
        <v>117537.37341607724</v>
      </c>
      <c r="C12">
        <v>1.1313068662579016</v>
      </c>
      <c r="D12">
        <v>132970.83758752714</v>
      </c>
      <c r="E12">
        <v>90000</v>
      </c>
      <c r="F12">
        <v>0.47745375097252385</v>
      </c>
    </row>
    <row r="13" spans="1:6" x14ac:dyDescent="0.5">
      <c r="A13" s="1">
        <v>43838</v>
      </c>
      <c r="B13">
        <v>117537.37341607724</v>
      </c>
      <c r="C13">
        <v>1.1106549331660254</v>
      </c>
      <c r="D13">
        <v>130543.46361594344</v>
      </c>
      <c r="E13">
        <v>90000</v>
      </c>
      <c r="F13">
        <v>0.45048292906603826</v>
      </c>
    </row>
    <row r="14" spans="1:6" x14ac:dyDescent="0.5">
      <c r="A14" s="1">
        <v>43837</v>
      </c>
      <c r="B14">
        <v>117537.37341607724</v>
      </c>
      <c r="C14">
        <v>1.1302135629538528</v>
      </c>
      <c r="D14">
        <v>132842.33358882213</v>
      </c>
      <c r="E14">
        <v>90000</v>
      </c>
      <c r="F14">
        <v>0.47602592876469035</v>
      </c>
    </row>
    <row r="15" spans="1:6" x14ac:dyDescent="0.5">
      <c r="A15" s="1">
        <v>43836</v>
      </c>
      <c r="B15">
        <v>117537.37341607724</v>
      </c>
      <c r="C15">
        <v>1.1211083220721327</v>
      </c>
      <c r="D15">
        <v>131772.12749126405</v>
      </c>
      <c r="E15">
        <v>90000</v>
      </c>
      <c r="F15">
        <v>0.46413474990293391</v>
      </c>
    </row>
    <row r="16" spans="1:6" x14ac:dyDescent="0.5">
      <c r="A16" s="1">
        <v>43833</v>
      </c>
      <c r="B16">
        <v>117537.37341607724</v>
      </c>
      <c r="C16">
        <v>1.1144261486821523</v>
      </c>
      <c r="D16">
        <v>130986.72238229495</v>
      </c>
      <c r="E16">
        <v>90000</v>
      </c>
      <c r="F16">
        <v>0.45540802646994383</v>
      </c>
    </row>
    <row r="17" spans="1:6" x14ac:dyDescent="0.5">
      <c r="A17" s="1">
        <v>43832</v>
      </c>
      <c r="B17">
        <v>117537.37341607724</v>
      </c>
      <c r="C17">
        <v>1.1160556202040131</v>
      </c>
      <c r="D17">
        <v>131178.24618503076</v>
      </c>
      <c r="E17">
        <v>90000</v>
      </c>
      <c r="F17">
        <v>0.45753606872256397</v>
      </c>
    </row>
    <row r="18" spans="1:6" x14ac:dyDescent="0.5">
      <c r="A18" s="1">
        <v>43889</v>
      </c>
      <c r="B18">
        <v>117537.37341607724</v>
      </c>
      <c r="C18">
        <v>1.2411718528604458</v>
      </c>
      <c r="D18">
        <v>145884.07954318271</v>
      </c>
      <c r="E18">
        <v>90000</v>
      </c>
      <c r="F18">
        <v>0.62093421714647457</v>
      </c>
    </row>
    <row r="19" spans="1:6" x14ac:dyDescent="0.5">
      <c r="A19" s="1">
        <v>43888</v>
      </c>
      <c r="B19">
        <v>117537.37341607724</v>
      </c>
      <c r="C19">
        <v>1.2411718528604458</v>
      </c>
      <c r="D19">
        <v>145884.07954318271</v>
      </c>
      <c r="E19">
        <v>90000</v>
      </c>
      <c r="F19">
        <v>0.62093421714647457</v>
      </c>
    </row>
    <row r="20" spans="1:6" x14ac:dyDescent="0.5">
      <c r="A20" s="1">
        <v>43887</v>
      </c>
      <c r="B20">
        <v>117537.37341607724</v>
      </c>
      <c r="C20">
        <v>1.2411718528604458</v>
      </c>
      <c r="D20">
        <v>145884.07954318271</v>
      </c>
      <c r="E20">
        <v>90000</v>
      </c>
      <c r="F20">
        <v>0.62093421714647457</v>
      </c>
    </row>
    <row r="21" spans="1:6" x14ac:dyDescent="0.5">
      <c r="A21" s="1">
        <v>43886</v>
      </c>
      <c r="B21">
        <v>117537.37341607724</v>
      </c>
      <c r="C21">
        <v>1.272042017304297</v>
      </c>
      <c r="D21">
        <v>149512.47758883535</v>
      </c>
      <c r="E21">
        <v>90000</v>
      </c>
      <c r="F21">
        <v>0.6612497509870594</v>
      </c>
    </row>
    <row r="22" spans="1:6" x14ac:dyDescent="0.5">
      <c r="A22" s="1">
        <v>43885</v>
      </c>
      <c r="B22">
        <v>117537.37341607724</v>
      </c>
      <c r="C22">
        <v>1.2914320662164702</v>
      </c>
      <c r="D22">
        <v>151791.53300838146</v>
      </c>
      <c r="E22">
        <v>90000</v>
      </c>
      <c r="F22">
        <v>0.68657258898201623</v>
      </c>
    </row>
    <row r="23" spans="1:6" x14ac:dyDescent="0.5">
      <c r="A23" s="1">
        <v>43882</v>
      </c>
      <c r="B23">
        <v>117537.37341607724</v>
      </c>
      <c r="C23">
        <v>1.2579231951994725</v>
      </c>
      <c r="D23">
        <v>147852.98832290541</v>
      </c>
      <c r="E23">
        <v>90000</v>
      </c>
      <c r="F23">
        <v>0.64281098136561565</v>
      </c>
    </row>
    <row r="24" spans="1:6" x14ac:dyDescent="0.5">
      <c r="A24" s="1">
        <v>43881</v>
      </c>
      <c r="B24">
        <v>117537.37341607724</v>
      </c>
      <c r="C24">
        <v>1.2352606991173216</v>
      </c>
      <c r="D24">
        <v>145189.29805835726</v>
      </c>
      <c r="E24">
        <v>90000</v>
      </c>
      <c r="F24">
        <v>0.61321442287063632</v>
      </c>
    </row>
    <row r="25" spans="1:6" x14ac:dyDescent="0.5">
      <c r="A25" s="1">
        <v>43880</v>
      </c>
      <c r="B25">
        <v>117537.37341607724</v>
      </c>
      <c r="C25">
        <v>1.198425782722508</v>
      </c>
      <c r="D25">
        <v>140859.81873531008</v>
      </c>
      <c r="E25">
        <v>90000</v>
      </c>
      <c r="F25">
        <v>0.56510909705900092</v>
      </c>
    </row>
    <row r="26" spans="1:6" x14ac:dyDescent="0.5">
      <c r="A26" s="1">
        <v>43879</v>
      </c>
      <c r="B26">
        <v>117537.37341607724</v>
      </c>
      <c r="C26">
        <v>1.2137187501442974</v>
      </c>
      <c r="D26">
        <v>142657.31395780484</v>
      </c>
      <c r="E26">
        <v>90000</v>
      </c>
      <c r="F26">
        <v>0.58508126619783163</v>
      </c>
    </row>
    <row r="27" spans="1:6" x14ac:dyDescent="0.5">
      <c r="A27" s="1">
        <v>43878</v>
      </c>
      <c r="B27">
        <v>117537.37341607724</v>
      </c>
      <c r="C27">
        <v>1.195892856138304</v>
      </c>
      <c r="D27">
        <v>140562.10519754697</v>
      </c>
      <c r="E27">
        <v>90000</v>
      </c>
      <c r="F27">
        <v>0.561801168861633</v>
      </c>
    </row>
    <row r="28" spans="1:6" x14ac:dyDescent="0.5">
      <c r="A28" s="1">
        <v>43875</v>
      </c>
      <c r="B28">
        <v>117537.37341607724</v>
      </c>
      <c r="C28">
        <v>1.1591023610374862</v>
      </c>
      <c r="D28">
        <v>136237.84703671979</v>
      </c>
      <c r="E28">
        <v>90000</v>
      </c>
      <c r="F28">
        <v>0.51375385596355316</v>
      </c>
    </row>
    <row r="29" spans="1:6" x14ac:dyDescent="0.5">
      <c r="A29" s="1">
        <v>43874</v>
      </c>
      <c r="B29">
        <v>117537.37341607724</v>
      </c>
      <c r="C29">
        <v>1.1598305858784781</v>
      </c>
      <c r="D29">
        <v>136323.44067178632</v>
      </c>
      <c r="E29">
        <v>90000</v>
      </c>
      <c r="F29">
        <v>0.51470489635318128</v>
      </c>
    </row>
    <row r="30" spans="1:6" x14ac:dyDescent="0.5">
      <c r="A30" s="1">
        <v>43873</v>
      </c>
      <c r="B30">
        <v>117537.37341607724</v>
      </c>
      <c r="C30">
        <v>1.165869933328586</v>
      </c>
      <c r="D30">
        <v>137033.28970821909</v>
      </c>
      <c r="E30">
        <v>90000</v>
      </c>
      <c r="F30">
        <v>0.52259210786910104</v>
      </c>
    </row>
    <row r="31" spans="1:6" x14ac:dyDescent="0.5">
      <c r="A31" s="1">
        <v>43872</v>
      </c>
      <c r="B31">
        <v>117537.37341607724</v>
      </c>
      <c r="C31">
        <v>1.1430285408199923</v>
      </c>
      <c r="D31">
        <v>134348.57242759332</v>
      </c>
      <c r="E31">
        <v>90000</v>
      </c>
      <c r="F31">
        <v>0.49276191586214796</v>
      </c>
    </row>
    <row r="32" spans="1:6" x14ac:dyDescent="0.5">
      <c r="A32" s="1">
        <v>43871</v>
      </c>
      <c r="B32">
        <v>117537.37341607724</v>
      </c>
      <c r="C32">
        <v>1.1451657834771793</v>
      </c>
      <c r="D32">
        <v>134599.7783158719</v>
      </c>
      <c r="E32">
        <v>90000</v>
      </c>
      <c r="F32">
        <v>0.49555309239857664</v>
      </c>
    </row>
    <row r="33" spans="1:6" x14ac:dyDescent="0.5">
      <c r="A33" s="1">
        <v>43868</v>
      </c>
      <c r="B33">
        <v>117537.37341607724</v>
      </c>
      <c r="C33">
        <v>1.139120195454056</v>
      </c>
      <c r="D33">
        <v>133889.19577887826</v>
      </c>
      <c r="E33">
        <v>90000</v>
      </c>
      <c r="F33">
        <v>0.48765773087642511</v>
      </c>
    </row>
    <row r="34" spans="1:6" x14ac:dyDescent="0.5">
      <c r="A34" s="1">
        <v>43867</v>
      </c>
      <c r="B34">
        <v>117537.37341607724</v>
      </c>
      <c r="C34">
        <v>1.1386987943977349</v>
      </c>
      <c r="D34">
        <v>133839.66540556354</v>
      </c>
      <c r="E34">
        <v>90000</v>
      </c>
      <c r="F34">
        <v>0.48710739339515047</v>
      </c>
    </row>
    <row r="35" spans="1:6" x14ac:dyDescent="0.5">
      <c r="A35" s="1">
        <v>43866</v>
      </c>
      <c r="B35">
        <v>117537.37341607724</v>
      </c>
      <c r="C35">
        <v>1.124152729650097</v>
      </c>
      <c r="D35">
        <v>132129.95916158598</v>
      </c>
      <c r="E35">
        <v>90000</v>
      </c>
      <c r="F35">
        <v>0.46811065735095536</v>
      </c>
    </row>
    <row r="36" spans="1:6" x14ac:dyDescent="0.5">
      <c r="A36" s="1">
        <v>43865</v>
      </c>
      <c r="B36">
        <v>117537.37341607724</v>
      </c>
      <c r="C36">
        <v>1.1100692748059078</v>
      </c>
      <c r="D36">
        <v>130474.62687057604</v>
      </c>
      <c r="E36">
        <v>90000</v>
      </c>
      <c r="F36">
        <v>0.44971807633973382</v>
      </c>
    </row>
    <row r="37" spans="1:6" x14ac:dyDescent="0.5">
      <c r="A37" s="1">
        <v>43864</v>
      </c>
      <c r="B37">
        <v>117537.37341607724</v>
      </c>
      <c r="C37">
        <v>1.0652384377200437</v>
      </c>
      <c r="D37">
        <v>125205.32803145952</v>
      </c>
      <c r="E37">
        <v>90000</v>
      </c>
      <c r="F37">
        <v>0.39117031146066128</v>
      </c>
    </row>
    <row r="38" spans="1:6" x14ac:dyDescent="0.5">
      <c r="A38" s="1">
        <v>43921</v>
      </c>
      <c r="B38">
        <v>198526.53006737985</v>
      </c>
      <c r="C38">
        <v>1.2347331931180399</v>
      </c>
      <c r="D38">
        <v>245127.29638874048</v>
      </c>
      <c r="E38">
        <v>190000</v>
      </c>
      <c r="F38">
        <v>0.29014366520389723</v>
      </c>
    </row>
    <row r="39" spans="1:6" x14ac:dyDescent="0.5">
      <c r="A39" s="1">
        <v>43920</v>
      </c>
      <c r="B39">
        <v>117537.37341607724</v>
      </c>
      <c r="C39">
        <v>1.2347331931180399</v>
      </c>
      <c r="D39">
        <v>145127.29638874048</v>
      </c>
      <c r="E39">
        <v>90000</v>
      </c>
      <c r="F39">
        <v>0.61252551543044975</v>
      </c>
    </row>
    <row r="40" spans="1:6" x14ac:dyDescent="0.5">
      <c r="A40" s="1">
        <v>43917</v>
      </c>
      <c r="B40">
        <v>117537.37341607724</v>
      </c>
      <c r="C40">
        <v>1.2347331931180399</v>
      </c>
      <c r="D40">
        <v>145127.29638874048</v>
      </c>
      <c r="E40">
        <v>90000</v>
      </c>
      <c r="F40">
        <v>0.61252551543044975</v>
      </c>
    </row>
    <row r="41" spans="1:6" x14ac:dyDescent="0.5">
      <c r="A41" s="1">
        <v>43916</v>
      </c>
      <c r="B41">
        <v>117537.37341607724</v>
      </c>
      <c r="C41">
        <v>1.2347331931180399</v>
      </c>
      <c r="D41">
        <v>145127.29638874048</v>
      </c>
      <c r="E41">
        <v>90000</v>
      </c>
      <c r="F41">
        <v>0.61252551543044975</v>
      </c>
    </row>
    <row r="42" spans="1:6" x14ac:dyDescent="0.5">
      <c r="A42" s="1">
        <v>43915</v>
      </c>
      <c r="B42">
        <v>117537.37341607724</v>
      </c>
      <c r="C42">
        <v>1.2347331931180399</v>
      </c>
      <c r="D42">
        <v>145127.29638874048</v>
      </c>
      <c r="E42">
        <v>90000</v>
      </c>
      <c r="F42">
        <v>0.61252551543044975</v>
      </c>
    </row>
    <row r="43" spans="1:6" x14ac:dyDescent="0.5">
      <c r="A43" s="1">
        <v>43914</v>
      </c>
      <c r="B43">
        <v>117537.37341607724</v>
      </c>
      <c r="C43">
        <v>1.2347331931180399</v>
      </c>
      <c r="D43">
        <v>145127.29638874048</v>
      </c>
      <c r="E43">
        <v>90000</v>
      </c>
      <c r="F43">
        <v>0.61252551543044975</v>
      </c>
    </row>
    <row r="44" spans="1:6" x14ac:dyDescent="0.5">
      <c r="A44" s="1">
        <v>43913</v>
      </c>
      <c r="B44">
        <v>117537.37341607724</v>
      </c>
      <c r="C44">
        <v>1.2347331931180399</v>
      </c>
      <c r="D44">
        <v>145127.29638874048</v>
      </c>
      <c r="E44">
        <v>90000</v>
      </c>
      <c r="F44">
        <v>0.61252551543044975</v>
      </c>
    </row>
    <row r="45" spans="1:6" x14ac:dyDescent="0.5">
      <c r="A45" s="1">
        <v>43910</v>
      </c>
      <c r="B45">
        <v>117537.37341607724</v>
      </c>
      <c r="C45">
        <v>1.2347331931180394</v>
      </c>
      <c r="D45">
        <v>145127.29638874042</v>
      </c>
      <c r="E45">
        <v>90000</v>
      </c>
      <c r="F45">
        <v>0.61252551543044909</v>
      </c>
    </row>
    <row r="46" spans="1:6" x14ac:dyDescent="0.5">
      <c r="A46" s="1">
        <v>43909</v>
      </c>
      <c r="B46">
        <v>117537.37341607724</v>
      </c>
      <c r="C46">
        <v>1.234702454369063</v>
      </c>
      <c r="D46">
        <v>145123.68343692363</v>
      </c>
      <c r="E46">
        <v>90000</v>
      </c>
      <c r="F46">
        <v>0.61248537152137372</v>
      </c>
    </row>
    <row r="47" spans="1:6" x14ac:dyDescent="0.5">
      <c r="A47" s="1">
        <v>43908</v>
      </c>
      <c r="B47">
        <v>117537.37341607724</v>
      </c>
      <c r="C47">
        <v>1.234702454369063</v>
      </c>
      <c r="D47">
        <v>145123.68343692363</v>
      </c>
      <c r="E47">
        <v>90000</v>
      </c>
      <c r="F47">
        <v>0.61248537152137372</v>
      </c>
    </row>
    <row r="48" spans="1:6" x14ac:dyDescent="0.5">
      <c r="A48" s="1">
        <v>43907</v>
      </c>
      <c r="B48">
        <v>117537.37341607724</v>
      </c>
      <c r="C48">
        <v>1.234702454369063</v>
      </c>
      <c r="D48">
        <v>145123.68343692363</v>
      </c>
      <c r="E48">
        <v>90000</v>
      </c>
      <c r="F48">
        <v>0.61248537152137372</v>
      </c>
    </row>
    <row r="49" spans="1:6" x14ac:dyDescent="0.5">
      <c r="A49" s="1">
        <v>43906</v>
      </c>
      <c r="B49">
        <v>117537.37341607724</v>
      </c>
      <c r="C49">
        <v>1.234702454369063</v>
      </c>
      <c r="D49">
        <v>145123.68343692363</v>
      </c>
      <c r="E49">
        <v>90000</v>
      </c>
      <c r="F49">
        <v>0.61248537152137372</v>
      </c>
    </row>
    <row r="50" spans="1:6" x14ac:dyDescent="0.5">
      <c r="A50" s="1">
        <v>43903</v>
      </c>
      <c r="B50">
        <v>117537.37341607724</v>
      </c>
      <c r="C50">
        <v>1.2367244871090419</v>
      </c>
      <c r="D50">
        <v>145361.34785414208</v>
      </c>
      <c r="E50">
        <v>90000</v>
      </c>
      <c r="F50">
        <v>0.61512608726824536</v>
      </c>
    </row>
    <row r="51" spans="1:6" x14ac:dyDescent="0.5">
      <c r="A51" s="1">
        <v>43902</v>
      </c>
      <c r="B51">
        <v>117537.37341607724</v>
      </c>
      <c r="C51">
        <v>1.2299354797197142</v>
      </c>
      <c r="D51">
        <v>144563.38575749815</v>
      </c>
      <c r="E51">
        <v>90000</v>
      </c>
      <c r="F51">
        <v>0.60625984174997949</v>
      </c>
    </row>
    <row r="52" spans="1:6" x14ac:dyDescent="0.5">
      <c r="A52" s="1">
        <v>43901</v>
      </c>
      <c r="B52">
        <v>117537.37341607724</v>
      </c>
      <c r="C52">
        <v>1.2354704123573381</v>
      </c>
      <c r="D52">
        <v>145213.94720175938</v>
      </c>
      <c r="E52">
        <v>90000</v>
      </c>
      <c r="F52">
        <v>0.61348830224177087</v>
      </c>
    </row>
    <row r="53" spans="1:6" x14ac:dyDescent="0.5">
      <c r="A53" s="1">
        <v>43900</v>
      </c>
      <c r="B53">
        <v>117537.37341607724</v>
      </c>
      <c r="C53">
        <v>1.2382586533414197</v>
      </c>
      <c r="D53">
        <v>145541.6697234794</v>
      </c>
      <c r="E53">
        <v>90000</v>
      </c>
      <c r="F53">
        <v>0.61712966359421551</v>
      </c>
    </row>
    <row r="54" spans="1:6" x14ac:dyDescent="0.5">
      <c r="A54" s="1">
        <v>43899</v>
      </c>
      <c r="B54">
        <v>117537.37341607724</v>
      </c>
      <c r="C54">
        <v>1.2355281313245159</v>
      </c>
      <c r="D54">
        <v>145220.73133755775</v>
      </c>
      <c r="E54">
        <v>90000</v>
      </c>
      <c r="F54">
        <v>0.61356368152841945</v>
      </c>
    </row>
    <row r="55" spans="1:6" x14ac:dyDescent="0.5">
      <c r="A55" s="1">
        <v>43896</v>
      </c>
      <c r="B55">
        <v>117537.37341607724</v>
      </c>
      <c r="C55">
        <v>1.2400957826859178</v>
      </c>
      <c r="D55">
        <v>145757.60108125731</v>
      </c>
      <c r="E55">
        <v>90000</v>
      </c>
      <c r="F55">
        <v>0.61952890090285895</v>
      </c>
    </row>
    <row r="56" spans="1:6" x14ac:dyDescent="0.5">
      <c r="A56" s="1">
        <v>43895</v>
      </c>
      <c r="B56">
        <v>117537.37341607724</v>
      </c>
      <c r="C56">
        <v>1.2411718528604458</v>
      </c>
      <c r="D56">
        <v>145884.07954318271</v>
      </c>
      <c r="E56">
        <v>90000</v>
      </c>
      <c r="F56">
        <v>0.62093421714647457</v>
      </c>
    </row>
    <row r="57" spans="1:6" x14ac:dyDescent="0.5">
      <c r="A57" s="1">
        <v>43894</v>
      </c>
      <c r="B57">
        <v>117537.37341607724</v>
      </c>
      <c r="C57">
        <v>1.2411718528604458</v>
      </c>
      <c r="D57">
        <v>145884.07954318271</v>
      </c>
      <c r="E57">
        <v>90000</v>
      </c>
      <c r="F57">
        <v>0.62093421714647457</v>
      </c>
    </row>
    <row r="58" spans="1:6" x14ac:dyDescent="0.5">
      <c r="A58" s="1">
        <v>43893</v>
      </c>
      <c r="B58">
        <v>117537.37341607724</v>
      </c>
      <c r="C58">
        <v>1.2411718528604458</v>
      </c>
      <c r="D58">
        <v>145884.07954318271</v>
      </c>
      <c r="E58">
        <v>90000</v>
      </c>
      <c r="F58">
        <v>0.62093421714647457</v>
      </c>
    </row>
    <row r="59" spans="1:6" x14ac:dyDescent="0.5">
      <c r="A59" s="1">
        <v>43892</v>
      </c>
      <c r="B59">
        <v>117537.37341607724</v>
      </c>
      <c r="C59">
        <v>1.2411718528604458</v>
      </c>
      <c r="D59">
        <v>145884.07954318271</v>
      </c>
      <c r="E59">
        <v>90000</v>
      </c>
      <c r="F59">
        <v>0.62093421714647457</v>
      </c>
    </row>
    <row r="60" spans="1:6" x14ac:dyDescent="0.5">
      <c r="A60" s="1">
        <v>43951</v>
      </c>
      <c r="B60">
        <v>198526.53006737985</v>
      </c>
      <c r="C60">
        <v>1.2537296551542974</v>
      </c>
      <c r="D60">
        <v>248898.59808035538</v>
      </c>
      <c r="E60">
        <v>190000</v>
      </c>
      <c r="F60">
        <v>0.30999262147555467</v>
      </c>
    </row>
    <row r="61" spans="1:6" x14ac:dyDescent="0.5">
      <c r="A61" s="1">
        <v>43950</v>
      </c>
      <c r="B61">
        <v>198526.53006737985</v>
      </c>
      <c r="C61">
        <v>1.2378688116310734</v>
      </c>
      <c r="D61">
        <v>245749.79985174807</v>
      </c>
      <c r="E61">
        <v>190000</v>
      </c>
      <c r="F61">
        <v>0.29341999921972672</v>
      </c>
    </row>
    <row r="62" spans="1:6" x14ac:dyDescent="0.5">
      <c r="A62" s="1">
        <v>43949</v>
      </c>
      <c r="B62">
        <v>198526.53006737985</v>
      </c>
      <c r="C62">
        <v>1.2359208244920603</v>
      </c>
      <c r="D62">
        <v>245363.0727244239</v>
      </c>
      <c r="E62">
        <v>190000</v>
      </c>
      <c r="F62">
        <v>0.29138459328644156</v>
      </c>
    </row>
    <row r="63" spans="1:6" x14ac:dyDescent="0.5">
      <c r="A63" s="1">
        <v>43948</v>
      </c>
      <c r="B63">
        <v>198526.53006737985</v>
      </c>
      <c r="C63">
        <v>1.2382030488242408</v>
      </c>
      <c r="D63">
        <v>245816.15480192704</v>
      </c>
      <c r="E63">
        <v>190000</v>
      </c>
      <c r="F63">
        <v>0.293769235799616</v>
      </c>
    </row>
    <row r="64" spans="1:6" x14ac:dyDescent="0.5">
      <c r="A64" s="1">
        <v>43945</v>
      </c>
      <c r="B64">
        <v>198526.53006737985</v>
      </c>
      <c r="C64">
        <v>1.2328952053397655</v>
      </c>
      <c r="D64">
        <v>244762.40705281342</v>
      </c>
      <c r="E64">
        <v>190000</v>
      </c>
      <c r="F64">
        <v>0.28822319501480748</v>
      </c>
    </row>
    <row r="65" spans="1:6" x14ac:dyDescent="0.5">
      <c r="A65" s="1">
        <v>43944</v>
      </c>
      <c r="B65">
        <v>198526.53006737985</v>
      </c>
      <c r="C65">
        <v>1.2373781420022096</v>
      </c>
      <c r="D65">
        <v>245652.38891292029</v>
      </c>
      <c r="E65">
        <v>190000</v>
      </c>
      <c r="F65">
        <v>0.29290731006800153</v>
      </c>
    </row>
    <row r="66" spans="1:6" x14ac:dyDescent="0.5">
      <c r="A66" s="1">
        <v>43943</v>
      </c>
      <c r="B66">
        <v>198526.53006737985</v>
      </c>
      <c r="C66">
        <v>1.2357834293989167</v>
      </c>
      <c r="D66">
        <v>245335.79615333382</v>
      </c>
      <c r="E66">
        <v>190000</v>
      </c>
      <c r="F66">
        <v>0.29124103238596749</v>
      </c>
    </row>
    <row r="67" spans="1:6" x14ac:dyDescent="0.5">
      <c r="A67" s="1">
        <v>43942</v>
      </c>
      <c r="B67">
        <v>198526.53006737985</v>
      </c>
      <c r="C67">
        <v>1.2315957726447329</v>
      </c>
      <c r="D67">
        <v>244504.43518881247</v>
      </c>
      <c r="E67">
        <v>190000</v>
      </c>
      <c r="F67">
        <v>0.28686544836217087</v>
      </c>
    </row>
    <row r="68" spans="1:6" x14ac:dyDescent="0.5">
      <c r="A68" s="1">
        <v>43941</v>
      </c>
      <c r="B68">
        <v>198526.53006737985</v>
      </c>
      <c r="C68">
        <v>1.2411738768275511</v>
      </c>
      <c r="D68">
        <v>246405.94297685122</v>
      </c>
      <c r="E68">
        <v>190000</v>
      </c>
      <c r="F68">
        <v>0.29687338408869063</v>
      </c>
    </row>
    <row r="69" spans="1:6" x14ac:dyDescent="0.5">
      <c r="A69" s="1">
        <v>43938</v>
      </c>
      <c r="B69">
        <v>198526.53006737985</v>
      </c>
      <c r="C69">
        <v>1.2377129271897969</v>
      </c>
      <c r="D69">
        <v>245718.85265452994</v>
      </c>
      <c r="E69">
        <v>190000</v>
      </c>
      <c r="F69">
        <v>0.29325711923436809</v>
      </c>
    </row>
    <row r="70" spans="1:6" x14ac:dyDescent="0.5">
      <c r="A70" s="1">
        <v>43937</v>
      </c>
      <c r="B70">
        <v>198526.53006737985</v>
      </c>
      <c r="C70">
        <v>1.2334664122658996</v>
      </c>
      <c r="D70">
        <v>244875.80678180925</v>
      </c>
      <c r="E70">
        <v>190000</v>
      </c>
      <c r="F70">
        <v>0.28882003569373293</v>
      </c>
    </row>
    <row r="71" spans="1:6" x14ac:dyDescent="0.5">
      <c r="A71" s="1">
        <v>43936</v>
      </c>
      <c r="B71">
        <v>198526.53006737985</v>
      </c>
      <c r="C71">
        <v>1.2325223908889296</v>
      </c>
      <c r="D71">
        <v>244688.39349352996</v>
      </c>
      <c r="E71">
        <v>190000</v>
      </c>
      <c r="F71">
        <v>0.28783364996594718</v>
      </c>
    </row>
    <row r="72" spans="1:6" x14ac:dyDescent="0.5">
      <c r="A72" s="1">
        <v>43935</v>
      </c>
      <c r="B72">
        <v>198526.53006737985</v>
      </c>
      <c r="C72">
        <v>1.2373460829988012</v>
      </c>
      <c r="D72">
        <v>245646.0243502162</v>
      </c>
      <c r="E72">
        <v>190000</v>
      </c>
      <c r="F72">
        <v>0.29287381236955895</v>
      </c>
    </row>
    <row r="73" spans="1:6" x14ac:dyDescent="0.5">
      <c r="A73" s="1">
        <v>43934</v>
      </c>
      <c r="B73">
        <v>198526.53006737985</v>
      </c>
      <c r="C73">
        <v>1.227481499507054</v>
      </c>
      <c r="D73">
        <v>243687.64281903967</v>
      </c>
      <c r="E73">
        <v>190000</v>
      </c>
      <c r="F73">
        <v>0.28256654115284036</v>
      </c>
    </row>
    <row r="74" spans="1:6" x14ac:dyDescent="0.5">
      <c r="A74" s="1">
        <v>43931</v>
      </c>
      <c r="B74">
        <v>198526.53006737985</v>
      </c>
      <c r="C74">
        <v>1.2297866502421266</v>
      </c>
      <c r="D74">
        <v>244145.27639575591</v>
      </c>
      <c r="E74">
        <v>190000</v>
      </c>
      <c r="F74">
        <v>0.28497513892503107</v>
      </c>
    </row>
    <row r="75" spans="1:6" x14ac:dyDescent="0.5">
      <c r="A75" s="1">
        <v>43930</v>
      </c>
      <c r="B75">
        <v>198526.53006737985</v>
      </c>
      <c r="C75">
        <v>1.2346740570186012</v>
      </c>
      <c r="D75">
        <v>245115.5563041172</v>
      </c>
      <c r="E75">
        <v>190000</v>
      </c>
      <c r="F75">
        <v>0.29008187528482737</v>
      </c>
    </row>
    <row r="76" spans="1:6" x14ac:dyDescent="0.5">
      <c r="A76" s="1">
        <v>43929</v>
      </c>
      <c r="B76">
        <v>198526.53006737985</v>
      </c>
      <c r="C76">
        <v>1.2347331931180399</v>
      </c>
      <c r="D76">
        <v>245127.29638874048</v>
      </c>
      <c r="E76">
        <v>190000</v>
      </c>
      <c r="F76">
        <v>0.29014366520389723</v>
      </c>
    </row>
    <row r="77" spans="1:6" x14ac:dyDescent="0.5">
      <c r="A77" s="1">
        <v>43928</v>
      </c>
      <c r="B77">
        <v>198526.53006737985</v>
      </c>
      <c r="C77">
        <v>1.2347331931180399</v>
      </c>
      <c r="D77">
        <v>245127.29638874048</v>
      </c>
      <c r="E77">
        <v>190000</v>
      </c>
      <c r="F77">
        <v>0.29014366520389723</v>
      </c>
    </row>
    <row r="78" spans="1:6" x14ac:dyDescent="0.5">
      <c r="A78" s="1">
        <v>43924</v>
      </c>
      <c r="B78">
        <v>198526.53006737985</v>
      </c>
      <c r="C78">
        <v>1.2347331931180399</v>
      </c>
      <c r="D78">
        <v>245127.29638874048</v>
      </c>
      <c r="E78">
        <v>190000</v>
      </c>
      <c r="F78">
        <v>0.29014366520389723</v>
      </c>
    </row>
    <row r="79" spans="1:6" x14ac:dyDescent="0.5">
      <c r="A79" s="1">
        <v>43923</v>
      </c>
      <c r="B79">
        <v>198526.53006737985</v>
      </c>
      <c r="C79">
        <v>1.2347331931180399</v>
      </c>
      <c r="D79">
        <v>245127.29638874048</v>
      </c>
      <c r="E79">
        <v>190000</v>
      </c>
      <c r="F79">
        <v>0.29014366520389723</v>
      </c>
    </row>
    <row r="80" spans="1:6" x14ac:dyDescent="0.5">
      <c r="A80" s="1">
        <v>43922</v>
      </c>
      <c r="B80">
        <v>198526.53006737985</v>
      </c>
      <c r="C80">
        <v>1.2347331931180399</v>
      </c>
      <c r="D80">
        <v>245127.29638874048</v>
      </c>
      <c r="E80">
        <v>190000</v>
      </c>
      <c r="F80">
        <v>0.29014366520389723</v>
      </c>
    </row>
    <row r="81" spans="1:6" x14ac:dyDescent="0.5">
      <c r="A81" s="1">
        <v>43980</v>
      </c>
      <c r="B81">
        <v>198526.53006737985</v>
      </c>
      <c r="C81">
        <v>1.2381198211821991</v>
      </c>
      <c r="D81">
        <v>245799.6319069468</v>
      </c>
      <c r="E81">
        <v>190000</v>
      </c>
      <c r="F81">
        <v>0.29368227319445683</v>
      </c>
    </row>
    <row r="82" spans="1:6" x14ac:dyDescent="0.5">
      <c r="A82" s="1">
        <v>43979</v>
      </c>
      <c r="B82">
        <v>198526.53006737985</v>
      </c>
      <c r="C82">
        <v>1.2341521199384216</v>
      </c>
      <c r="D82">
        <v>245011.93794667564</v>
      </c>
      <c r="E82">
        <v>190000</v>
      </c>
      <c r="F82">
        <v>0.28953651550881915</v>
      </c>
    </row>
    <row r="83" spans="1:6" x14ac:dyDescent="0.5">
      <c r="A83" s="1">
        <v>43978</v>
      </c>
      <c r="B83">
        <v>198526.53006737985</v>
      </c>
      <c r="C83">
        <v>1.2357530273217978</v>
      </c>
      <c r="D83">
        <v>245329.76053445655</v>
      </c>
      <c r="E83">
        <v>190000</v>
      </c>
      <c r="F83">
        <v>0.29120926597082397</v>
      </c>
    </row>
    <row r="84" spans="1:6" x14ac:dyDescent="0.5">
      <c r="A84" s="1">
        <v>43977</v>
      </c>
      <c r="B84">
        <v>198526.53006737985</v>
      </c>
      <c r="C84">
        <v>1.2450634839190113</v>
      </c>
      <c r="D84">
        <v>247178.1331760443</v>
      </c>
      <c r="E84">
        <v>190000</v>
      </c>
      <c r="F84">
        <v>0.30093754303181208</v>
      </c>
    </row>
    <row r="85" spans="1:6" x14ac:dyDescent="0.5">
      <c r="A85" s="1">
        <v>43976</v>
      </c>
      <c r="B85">
        <v>198526.53006737985</v>
      </c>
      <c r="C85">
        <v>1.2351806006090442</v>
      </c>
      <c r="D85">
        <v>245216.11864545572</v>
      </c>
      <c r="E85">
        <v>190000</v>
      </c>
      <c r="F85">
        <v>0.29061115076555638</v>
      </c>
    </row>
    <row r="86" spans="1:6" x14ac:dyDescent="0.5">
      <c r="A86" s="1">
        <v>43973</v>
      </c>
      <c r="B86">
        <v>198526.53006737985</v>
      </c>
      <c r="C86">
        <v>1.2341886487894993</v>
      </c>
      <c r="D86">
        <v>245019.18989272745</v>
      </c>
      <c r="E86">
        <v>190000</v>
      </c>
      <c r="F86">
        <v>0.28957468364593392</v>
      </c>
    </row>
    <row r="87" spans="1:6" x14ac:dyDescent="0.5">
      <c r="A87" s="1">
        <v>43972</v>
      </c>
      <c r="B87">
        <v>198526.53006737985</v>
      </c>
      <c r="C87">
        <v>1.2551403465618143</v>
      </c>
      <c r="D87">
        <v>249178.65775048558</v>
      </c>
      <c r="E87">
        <v>190000</v>
      </c>
      <c r="F87">
        <v>0.31146661973939782</v>
      </c>
    </row>
    <row r="88" spans="1:6" x14ac:dyDescent="0.5">
      <c r="A88" s="1">
        <v>43971</v>
      </c>
      <c r="B88">
        <v>198526.53006737985</v>
      </c>
      <c r="C88">
        <v>1.2629857576534051</v>
      </c>
      <c r="D88">
        <v>250736.17999145127</v>
      </c>
      <c r="E88">
        <v>190000</v>
      </c>
      <c r="F88">
        <v>0.31966410521816457</v>
      </c>
    </row>
    <row r="89" spans="1:6" x14ac:dyDescent="0.5">
      <c r="A89" s="1">
        <v>43970</v>
      </c>
      <c r="B89">
        <v>198526.53006737985</v>
      </c>
      <c r="C89">
        <v>1.2688011083312356</v>
      </c>
      <c r="D89">
        <v>251890.68138264591</v>
      </c>
      <c r="E89">
        <v>190000</v>
      </c>
      <c r="F89">
        <v>0.32574042832971534</v>
      </c>
    </row>
    <row r="90" spans="1:6" x14ac:dyDescent="0.5">
      <c r="A90" s="1">
        <v>43969</v>
      </c>
      <c r="B90">
        <v>198526.53006737985</v>
      </c>
      <c r="C90">
        <v>1.2552648627586811</v>
      </c>
      <c r="D90">
        <v>249203.37751898673</v>
      </c>
      <c r="E90">
        <v>190000</v>
      </c>
      <c r="F90">
        <v>0.31159672378414066</v>
      </c>
    </row>
    <row r="91" spans="1:6" x14ac:dyDescent="0.5">
      <c r="A91" s="1">
        <v>43966</v>
      </c>
      <c r="B91">
        <v>198526.53006737985</v>
      </c>
      <c r="C91">
        <v>1.2528621189441969</v>
      </c>
      <c r="D91">
        <v>248726.36912685633</v>
      </c>
      <c r="E91">
        <v>190000</v>
      </c>
      <c r="F91">
        <v>0.30908615329924383</v>
      </c>
    </row>
    <row r="92" spans="1:6" x14ac:dyDescent="0.5">
      <c r="A92" s="1">
        <v>43965</v>
      </c>
      <c r="B92">
        <v>198526.53006737985</v>
      </c>
      <c r="C92">
        <v>1.2498056655291858</v>
      </c>
      <c r="D92">
        <v>248119.58203606159</v>
      </c>
      <c r="E92">
        <v>190000</v>
      </c>
      <c r="F92">
        <v>0.30589253703190311</v>
      </c>
    </row>
    <row r="93" spans="1:6" x14ac:dyDescent="0.5">
      <c r="A93" s="1">
        <v>43964</v>
      </c>
      <c r="B93">
        <v>198526.53006737985</v>
      </c>
      <c r="C93">
        <v>1.2591495729768341</v>
      </c>
      <c r="D93">
        <v>249974.59555891395</v>
      </c>
      <c r="E93">
        <v>190000</v>
      </c>
      <c r="F93">
        <v>0.3156557660995471</v>
      </c>
    </row>
    <row r="94" spans="1:6" x14ac:dyDescent="0.5">
      <c r="A94" s="1">
        <v>43963</v>
      </c>
      <c r="B94">
        <v>198526.53006737985</v>
      </c>
      <c r="C94">
        <v>1.2533455174573407</v>
      </c>
      <c r="D94">
        <v>248822.3365563105</v>
      </c>
      <c r="E94">
        <v>190000</v>
      </c>
      <c r="F94">
        <v>0.30959124503321317</v>
      </c>
    </row>
    <row r="95" spans="1:6" x14ac:dyDescent="0.5">
      <c r="A95" s="1">
        <v>43962</v>
      </c>
      <c r="B95">
        <v>198526.53006737985</v>
      </c>
      <c r="C95">
        <v>1.2538853333233426</v>
      </c>
      <c r="D95">
        <v>248929.50432706319</v>
      </c>
      <c r="E95">
        <v>190000</v>
      </c>
      <c r="F95">
        <v>0.3101552859319115</v>
      </c>
    </row>
    <row r="96" spans="1:6" x14ac:dyDescent="0.5">
      <c r="A96" s="1">
        <v>43959</v>
      </c>
      <c r="B96">
        <v>198526.53006737985</v>
      </c>
      <c r="C96">
        <v>1.256115166616097</v>
      </c>
      <c r="D96">
        <v>249372.18539330244</v>
      </c>
      <c r="E96">
        <v>190000</v>
      </c>
      <c r="F96">
        <v>0.31248518628053917</v>
      </c>
    </row>
    <row r="97" spans="1:6" x14ac:dyDescent="0.5">
      <c r="A97" s="1">
        <v>43958</v>
      </c>
      <c r="B97">
        <v>198526.53006737985</v>
      </c>
      <c r="C97">
        <v>1.2465961343137566</v>
      </c>
      <c r="D97">
        <v>247482.40494071948</v>
      </c>
      <c r="E97">
        <v>190000</v>
      </c>
      <c r="F97">
        <v>0.30253897337220781</v>
      </c>
    </row>
    <row r="98" spans="1:6" x14ac:dyDescent="0.5">
      <c r="A98" s="1">
        <v>43957</v>
      </c>
      <c r="B98">
        <v>198526.53006737985</v>
      </c>
      <c r="C98">
        <v>1.2520040167837412</v>
      </c>
      <c r="D98">
        <v>248556.01308249772</v>
      </c>
      <c r="E98">
        <v>190000</v>
      </c>
      <c r="F98">
        <v>0.30818954253946168</v>
      </c>
    </row>
    <row r="99" spans="1:6" x14ac:dyDescent="0.5">
      <c r="A99" s="1">
        <v>44012</v>
      </c>
      <c r="B99">
        <v>234466.18331517366</v>
      </c>
      <c r="C99">
        <v>1.4198870573336615</v>
      </c>
      <c r="D99">
        <v>332915.49907163676</v>
      </c>
      <c r="E99">
        <v>240000</v>
      </c>
      <c r="F99">
        <v>0.38714791279848648</v>
      </c>
    </row>
    <row r="100" spans="1:6" x14ac:dyDescent="0.5">
      <c r="A100" s="1">
        <v>44011</v>
      </c>
      <c r="B100">
        <v>234466.18331517366</v>
      </c>
      <c r="C100">
        <v>1.3822179191255946</v>
      </c>
      <c r="D100">
        <v>324083.36000721954</v>
      </c>
      <c r="E100">
        <v>240000</v>
      </c>
      <c r="F100">
        <v>0.35034733336341473</v>
      </c>
    </row>
    <row r="101" spans="1:6" x14ac:dyDescent="0.5">
      <c r="A101" s="1">
        <v>44006</v>
      </c>
      <c r="B101">
        <v>198526.53006737985</v>
      </c>
      <c r="C101">
        <v>1.3912209907887547</v>
      </c>
      <c r="D101">
        <v>276194.27585819369</v>
      </c>
      <c r="E101">
        <v>190000</v>
      </c>
      <c r="F101">
        <v>0.45365408346417735</v>
      </c>
    </row>
    <row r="102" spans="1:6" x14ac:dyDescent="0.5">
      <c r="A102" s="1">
        <v>44005</v>
      </c>
      <c r="B102">
        <v>198526.53006737985</v>
      </c>
      <c r="C102">
        <v>1.3947546408173752</v>
      </c>
      <c r="D102">
        <v>276895.79913684825</v>
      </c>
      <c r="E102">
        <v>190000</v>
      </c>
      <c r="F102">
        <v>0.45734631124656971</v>
      </c>
    </row>
    <row r="103" spans="1:6" x14ac:dyDescent="0.5">
      <c r="A103" s="1">
        <v>44004</v>
      </c>
      <c r="B103">
        <v>198526.53006737985</v>
      </c>
      <c r="C103">
        <v>1.3691305059999022</v>
      </c>
      <c r="D103">
        <v>271808.72856555658</v>
      </c>
      <c r="E103">
        <v>190000</v>
      </c>
      <c r="F103">
        <v>0.43057225560819251</v>
      </c>
    </row>
    <row r="104" spans="1:6" x14ac:dyDescent="0.5">
      <c r="A104" s="1">
        <v>44001</v>
      </c>
      <c r="B104">
        <v>198526.53006737985</v>
      </c>
      <c r="C104">
        <v>1.3511911337669433</v>
      </c>
      <c r="D104">
        <v>268247.28724456014</v>
      </c>
      <c r="E104">
        <v>190000</v>
      </c>
      <c r="F104">
        <v>0.41182782760294812</v>
      </c>
    </row>
    <row r="105" spans="1:6" x14ac:dyDescent="0.5">
      <c r="A105" s="1">
        <v>44000</v>
      </c>
      <c r="B105">
        <v>198526.53006737985</v>
      </c>
      <c r="C105">
        <v>1.3181977393164712</v>
      </c>
      <c r="D105">
        <v>261697.22312916355</v>
      </c>
      <c r="E105">
        <v>190000</v>
      </c>
      <c r="F105">
        <v>0.37735380594296608</v>
      </c>
    </row>
    <row r="106" spans="1:6" x14ac:dyDescent="0.5">
      <c r="A106" s="1">
        <v>43999</v>
      </c>
      <c r="B106">
        <v>198526.53006737985</v>
      </c>
      <c r="C106">
        <v>1.3097448938133034</v>
      </c>
      <c r="D106">
        <v>260019.10904222401</v>
      </c>
      <c r="E106">
        <v>190000</v>
      </c>
      <c r="F106">
        <v>0.36852162653802112</v>
      </c>
    </row>
    <row r="107" spans="1:6" x14ac:dyDescent="0.5">
      <c r="A107" s="1">
        <v>43998</v>
      </c>
      <c r="B107">
        <v>198526.53006737985</v>
      </c>
      <c r="C107">
        <v>1.312562508981026</v>
      </c>
      <c r="D107">
        <v>260578.4804045372</v>
      </c>
      <c r="E107">
        <v>190000</v>
      </c>
      <c r="F107">
        <v>0.37146568633966948</v>
      </c>
    </row>
    <row r="108" spans="1:6" x14ac:dyDescent="0.5">
      <c r="A108" s="1">
        <v>43997</v>
      </c>
      <c r="B108">
        <v>198526.53006737985</v>
      </c>
      <c r="C108">
        <v>1.2869354503513224</v>
      </c>
      <c r="D108">
        <v>255490.82937894884</v>
      </c>
      <c r="E108">
        <v>190000</v>
      </c>
      <c r="F108">
        <v>0.34468857567867811</v>
      </c>
    </row>
    <row r="109" spans="1:6" x14ac:dyDescent="0.5">
      <c r="A109" s="1">
        <v>43994</v>
      </c>
      <c r="B109">
        <v>198526.53006737985</v>
      </c>
      <c r="C109">
        <v>1.2913851945653263</v>
      </c>
      <c r="D109">
        <v>256374.22165744242</v>
      </c>
      <c r="E109">
        <v>190000</v>
      </c>
      <c r="F109">
        <v>0.34933800872338117</v>
      </c>
    </row>
    <row r="110" spans="1:6" x14ac:dyDescent="0.5">
      <c r="A110" s="1">
        <v>43993</v>
      </c>
      <c r="B110">
        <v>198526.53006737985</v>
      </c>
      <c r="C110">
        <v>1.2795072492748412</v>
      </c>
      <c r="D110">
        <v>254016.13439459223</v>
      </c>
      <c r="E110">
        <v>190000</v>
      </c>
      <c r="F110">
        <v>0.33692702312943279</v>
      </c>
    </row>
    <row r="111" spans="1:6" x14ac:dyDescent="0.5">
      <c r="A111" s="1">
        <v>43992</v>
      </c>
      <c r="B111">
        <v>198526.53006737985</v>
      </c>
      <c r="C111">
        <v>1.2754490517276387</v>
      </c>
      <c r="D111">
        <v>253210.47451721819</v>
      </c>
      <c r="E111">
        <v>190000</v>
      </c>
      <c r="F111">
        <v>0.33268670798535888</v>
      </c>
    </row>
    <row r="112" spans="1:6" x14ac:dyDescent="0.5">
      <c r="A112" s="1">
        <v>43991</v>
      </c>
      <c r="B112">
        <v>198526.53006737985</v>
      </c>
      <c r="C112">
        <v>1.2623721895931383</v>
      </c>
      <c r="D112">
        <v>250614.37045348631</v>
      </c>
      <c r="E112">
        <v>190000</v>
      </c>
      <c r="F112">
        <v>0.31902300238677006</v>
      </c>
    </row>
    <row r="113" spans="1:6" x14ac:dyDescent="0.5">
      <c r="A113" s="1">
        <v>43990</v>
      </c>
      <c r="B113">
        <v>198526.53006737985</v>
      </c>
      <c r="C113">
        <v>1.2490339102468897</v>
      </c>
      <c r="D113">
        <v>247966.36813780616</v>
      </c>
      <c r="E113">
        <v>190000</v>
      </c>
      <c r="F113">
        <v>0.30508614809371665</v>
      </c>
    </row>
    <row r="114" spans="1:6" x14ac:dyDescent="0.5">
      <c r="A114" s="1">
        <v>43987</v>
      </c>
      <c r="B114">
        <v>198526.53006737985</v>
      </c>
      <c r="C114">
        <v>1.2582156834952847</v>
      </c>
      <c r="D114">
        <v>249789.19372067551</v>
      </c>
      <c r="E114">
        <v>190000</v>
      </c>
      <c r="F114">
        <v>0.31467996695092376</v>
      </c>
    </row>
    <row r="115" spans="1:6" x14ac:dyDescent="0.5">
      <c r="A115" s="1">
        <v>43986</v>
      </c>
      <c r="B115">
        <v>198526.53006737985</v>
      </c>
      <c r="C115">
        <v>1.2513837810169224</v>
      </c>
      <c r="D115">
        <v>248432.87982788752</v>
      </c>
      <c r="E115">
        <v>190000</v>
      </c>
      <c r="F115">
        <v>0.30754147277835536</v>
      </c>
    </row>
    <row r="116" spans="1:6" x14ac:dyDescent="0.5">
      <c r="A116" s="1">
        <v>43985</v>
      </c>
      <c r="B116">
        <v>198526.53006737985</v>
      </c>
      <c r="C116">
        <v>1.2494742074927987</v>
      </c>
      <c r="D116">
        <v>248053.77882223472</v>
      </c>
      <c r="E116">
        <v>190000</v>
      </c>
      <c r="F116">
        <v>0.30554620432755114</v>
      </c>
    </row>
    <row r="117" spans="1:6" x14ac:dyDescent="0.5">
      <c r="A117" s="1">
        <v>43984</v>
      </c>
      <c r="B117">
        <v>198526.53006737985</v>
      </c>
      <c r="C117">
        <v>1.2546356440208555</v>
      </c>
      <c r="D117">
        <v>249078.46090631286</v>
      </c>
      <c r="E117">
        <v>190000</v>
      </c>
      <c r="F117">
        <v>0.31093926792796239</v>
      </c>
    </row>
    <row r="118" spans="1:6" x14ac:dyDescent="0.5">
      <c r="A118" s="1">
        <v>43983</v>
      </c>
      <c r="B118">
        <v>198526.53006737985</v>
      </c>
      <c r="C118">
        <v>1.25932999901336</v>
      </c>
      <c r="D118">
        <v>250010.41491387924</v>
      </c>
      <c r="E118">
        <v>190000</v>
      </c>
      <c r="F118">
        <v>0.31584428902041706</v>
      </c>
    </row>
    <row r="119" spans="1:6" x14ac:dyDescent="0.5">
      <c r="A119" s="1">
        <v>44043</v>
      </c>
      <c r="B119">
        <v>234466.18331517366</v>
      </c>
      <c r="C119">
        <v>1.5714316110454973</v>
      </c>
      <c r="D119">
        <v>368447.57218265225</v>
      </c>
      <c r="E119">
        <v>240000</v>
      </c>
      <c r="F119">
        <v>0.53519821742771767</v>
      </c>
    </row>
    <row r="120" spans="1:6" x14ac:dyDescent="0.5">
      <c r="A120" s="1">
        <v>44042</v>
      </c>
      <c r="B120">
        <v>234466.18331517366</v>
      </c>
      <c r="C120">
        <v>1.5714316110454973</v>
      </c>
      <c r="D120">
        <v>368447.57218265225</v>
      </c>
      <c r="E120">
        <v>240000</v>
      </c>
      <c r="F120">
        <v>0.53519821742771767</v>
      </c>
    </row>
    <row r="121" spans="1:6" x14ac:dyDescent="0.5">
      <c r="A121" s="1">
        <v>44041</v>
      </c>
      <c r="B121">
        <v>234466.18331517366</v>
      </c>
      <c r="C121">
        <v>1.5714316110454973</v>
      </c>
      <c r="D121">
        <v>368447.57218265225</v>
      </c>
      <c r="E121">
        <v>240000</v>
      </c>
      <c r="F121">
        <v>0.53519821742771767</v>
      </c>
    </row>
    <row r="122" spans="1:6" x14ac:dyDescent="0.5">
      <c r="A122" s="1">
        <v>44040</v>
      </c>
      <c r="B122">
        <v>234466.18331517366</v>
      </c>
      <c r="C122">
        <v>1.5714316110454973</v>
      </c>
      <c r="D122">
        <v>368447.57218265225</v>
      </c>
      <c r="E122">
        <v>240000</v>
      </c>
      <c r="F122">
        <v>0.53519821742771767</v>
      </c>
    </row>
    <row r="123" spans="1:6" x14ac:dyDescent="0.5">
      <c r="A123" s="1">
        <v>44039</v>
      </c>
      <c r="B123">
        <v>234466.18331517366</v>
      </c>
      <c r="C123">
        <v>1.5714316110454973</v>
      </c>
      <c r="D123">
        <v>368447.57218265225</v>
      </c>
      <c r="E123">
        <v>240000</v>
      </c>
      <c r="F123">
        <v>0.53519821742771767</v>
      </c>
    </row>
    <row r="124" spans="1:6" x14ac:dyDescent="0.5">
      <c r="A124" s="1">
        <v>44036</v>
      </c>
      <c r="B124">
        <v>234466.18331517366</v>
      </c>
      <c r="C124">
        <v>1.5714316110454973</v>
      </c>
      <c r="D124">
        <v>368447.57218265225</v>
      </c>
      <c r="E124">
        <v>240000</v>
      </c>
      <c r="F124">
        <v>0.53519821742771767</v>
      </c>
    </row>
    <row r="125" spans="1:6" x14ac:dyDescent="0.5">
      <c r="A125" s="1">
        <v>44035</v>
      </c>
      <c r="B125">
        <v>234466.18331517366</v>
      </c>
      <c r="C125">
        <v>1.5714316110454973</v>
      </c>
      <c r="D125">
        <v>368447.57218265225</v>
      </c>
      <c r="E125">
        <v>240000</v>
      </c>
      <c r="F125">
        <v>0.53519821742771767</v>
      </c>
    </row>
    <row r="126" spans="1:6" x14ac:dyDescent="0.5">
      <c r="A126" s="1">
        <v>44034</v>
      </c>
      <c r="B126">
        <v>234466.18331517366</v>
      </c>
      <c r="C126">
        <v>1.5714316110454973</v>
      </c>
      <c r="D126">
        <v>368447.57218265225</v>
      </c>
      <c r="E126">
        <v>240000</v>
      </c>
      <c r="F126">
        <v>0.53519821742771767</v>
      </c>
    </row>
    <row r="127" spans="1:6" x14ac:dyDescent="0.5">
      <c r="A127" s="1">
        <v>44033</v>
      </c>
      <c r="B127">
        <v>234466.18331517366</v>
      </c>
      <c r="C127">
        <v>1.5714316110454973</v>
      </c>
      <c r="D127">
        <v>368447.57218265225</v>
      </c>
      <c r="E127">
        <v>240000</v>
      </c>
      <c r="F127">
        <v>0.53519821742771767</v>
      </c>
    </row>
    <row r="128" spans="1:6" x14ac:dyDescent="0.5">
      <c r="A128" s="1">
        <v>44032</v>
      </c>
      <c r="B128">
        <v>234466.18331517366</v>
      </c>
      <c r="C128">
        <v>1.5714316110454973</v>
      </c>
      <c r="D128">
        <v>368447.57218265225</v>
      </c>
      <c r="E128">
        <v>240000</v>
      </c>
      <c r="F128">
        <v>0.53519821742771767</v>
      </c>
    </row>
    <row r="129" spans="1:6" x14ac:dyDescent="0.5">
      <c r="A129" s="1">
        <v>44029</v>
      </c>
      <c r="B129">
        <v>234466.18331517366</v>
      </c>
      <c r="C129">
        <v>1.5714316110455036</v>
      </c>
      <c r="D129">
        <v>368447.5721826537</v>
      </c>
      <c r="E129">
        <v>240000</v>
      </c>
      <c r="F129">
        <v>0.53519821742772378</v>
      </c>
    </row>
    <row r="130" spans="1:6" x14ac:dyDescent="0.5">
      <c r="A130" s="1">
        <v>44029</v>
      </c>
      <c r="B130">
        <v>234466.18331517366</v>
      </c>
      <c r="C130">
        <v>1.5714316110455036</v>
      </c>
      <c r="D130">
        <v>368447.5721826537</v>
      </c>
      <c r="E130">
        <v>240000</v>
      </c>
      <c r="F130">
        <v>0.53519821742772378</v>
      </c>
    </row>
    <row r="131" spans="1:6" x14ac:dyDescent="0.5">
      <c r="A131" s="1">
        <v>44028</v>
      </c>
      <c r="B131">
        <v>234466.18331517366</v>
      </c>
      <c r="C131">
        <v>1.5714316110455036</v>
      </c>
      <c r="D131">
        <v>368447.5721826537</v>
      </c>
      <c r="E131">
        <v>240000</v>
      </c>
      <c r="F131">
        <v>0.53519821742772378</v>
      </c>
    </row>
    <row r="132" spans="1:6" x14ac:dyDescent="0.5">
      <c r="A132" s="1">
        <v>44027</v>
      </c>
      <c r="B132">
        <v>234466.18331517366</v>
      </c>
      <c r="C132">
        <v>1.6405382274495794</v>
      </c>
      <c r="D132">
        <v>384650.73677274317</v>
      </c>
      <c r="E132">
        <v>240000</v>
      </c>
      <c r="F132">
        <v>0.60271140321976324</v>
      </c>
    </row>
    <row r="133" spans="1:6" x14ac:dyDescent="0.5">
      <c r="A133" s="1">
        <v>44026</v>
      </c>
      <c r="B133">
        <v>234466.18331517366</v>
      </c>
      <c r="C133">
        <v>1.6751943240386242</v>
      </c>
      <c r="D133">
        <v>392776.41946857848</v>
      </c>
      <c r="E133">
        <v>240000</v>
      </c>
      <c r="F133">
        <v>0.6365684144524103</v>
      </c>
    </row>
    <row r="134" spans="1:6" x14ac:dyDescent="0.5">
      <c r="A134" s="1">
        <v>44025</v>
      </c>
      <c r="B134">
        <v>234466.18331517366</v>
      </c>
      <c r="C134">
        <v>1.6997234314325376</v>
      </c>
      <c r="D134">
        <v>398527.66565935739</v>
      </c>
      <c r="E134">
        <v>240000</v>
      </c>
      <c r="F134">
        <v>0.66053194024732242</v>
      </c>
    </row>
    <row r="135" spans="1:6" x14ac:dyDescent="0.5">
      <c r="A135" s="1">
        <v>44022</v>
      </c>
      <c r="B135">
        <v>234466.18331517366</v>
      </c>
      <c r="C135">
        <v>1.6226035473978175</v>
      </c>
      <c r="D135">
        <v>380445.66079202777</v>
      </c>
      <c r="E135">
        <v>240000</v>
      </c>
      <c r="F135">
        <v>0.58519025330011576</v>
      </c>
    </row>
    <row r="136" spans="1:6" x14ac:dyDescent="0.5">
      <c r="A136" s="1">
        <v>44021</v>
      </c>
      <c r="B136">
        <v>234466.18331517366</v>
      </c>
      <c r="C136">
        <v>1.6133379125449046</v>
      </c>
      <c r="D136">
        <v>378273.18275207322</v>
      </c>
      <c r="E136">
        <v>240000</v>
      </c>
      <c r="F136">
        <v>0.57613826146697178</v>
      </c>
    </row>
    <row r="137" spans="1:6" x14ac:dyDescent="0.5">
      <c r="A137" s="1">
        <v>44020</v>
      </c>
      <c r="B137">
        <v>234466.18331517366</v>
      </c>
      <c r="C137">
        <v>1.5745184164407169</v>
      </c>
      <c r="D137">
        <v>369171.32366230607</v>
      </c>
      <c r="E137">
        <v>240000</v>
      </c>
      <c r="F137">
        <v>0.53821384859294197</v>
      </c>
    </row>
    <row r="138" spans="1:6" x14ac:dyDescent="0.5">
      <c r="A138" s="1">
        <v>44019</v>
      </c>
      <c r="B138">
        <v>234466.18331517366</v>
      </c>
      <c r="C138">
        <v>1.5147757769573238</v>
      </c>
      <c r="D138">
        <v>355163.6950014605</v>
      </c>
      <c r="E138">
        <v>240000</v>
      </c>
      <c r="F138">
        <v>0.47984872917275206</v>
      </c>
    </row>
    <row r="139" spans="1:6" x14ac:dyDescent="0.5">
      <c r="A139" s="1">
        <v>44018</v>
      </c>
      <c r="B139">
        <v>234466.18331517366</v>
      </c>
      <c r="C139">
        <v>1.4800802493706995</v>
      </c>
      <c r="D139">
        <v>347028.7670701184</v>
      </c>
      <c r="E139">
        <v>240000</v>
      </c>
      <c r="F139">
        <v>0.44595319612549333</v>
      </c>
    </row>
    <row r="140" spans="1:6" x14ac:dyDescent="0.5">
      <c r="A140" s="1">
        <v>44015</v>
      </c>
      <c r="B140">
        <v>234466.18331517366</v>
      </c>
      <c r="C140">
        <v>1.4334057255529946</v>
      </c>
      <c r="D140">
        <v>336085.16961252794</v>
      </c>
      <c r="E140">
        <v>240000</v>
      </c>
      <c r="F140">
        <v>0.40035487338553311</v>
      </c>
    </row>
    <row r="141" spans="1:6" x14ac:dyDescent="0.5">
      <c r="A141" s="1">
        <v>44014</v>
      </c>
      <c r="B141">
        <v>234466.18331517366</v>
      </c>
      <c r="C141">
        <v>1.4131176275002175</v>
      </c>
      <c r="D141">
        <v>331328.2966953693</v>
      </c>
      <c r="E141">
        <v>240000</v>
      </c>
      <c r="F141">
        <v>0.38053456956403875</v>
      </c>
    </row>
    <row r="142" spans="1:6" x14ac:dyDescent="0.5">
      <c r="A142" s="1">
        <v>44013</v>
      </c>
      <c r="B142">
        <v>234466.18331517366</v>
      </c>
      <c r="C142">
        <v>1.4045472967671047</v>
      </c>
      <c r="D142">
        <v>329318.84395862761</v>
      </c>
      <c r="E142">
        <v>240000</v>
      </c>
      <c r="F142">
        <v>0.37216184982761502</v>
      </c>
    </row>
    <row r="143" spans="1:6" x14ac:dyDescent="0.5">
      <c r="A143" s="1">
        <v>44074</v>
      </c>
      <c r="B143">
        <v>234466.18331517366</v>
      </c>
      <c r="C143">
        <v>1.4791008490622766</v>
      </c>
      <c r="D143">
        <v>346799.13081786473</v>
      </c>
      <c r="E143">
        <v>240000</v>
      </c>
      <c r="F143">
        <v>0.44499637840776973</v>
      </c>
    </row>
    <row r="144" spans="1:6" x14ac:dyDescent="0.5">
      <c r="A144" s="1">
        <v>44071</v>
      </c>
      <c r="B144">
        <v>234466.18331517366</v>
      </c>
      <c r="C144">
        <v>1.4909002369620126</v>
      </c>
      <c r="D144">
        <v>349565.68826417107</v>
      </c>
      <c r="E144">
        <v>240000</v>
      </c>
      <c r="F144">
        <v>0.45652370110071278</v>
      </c>
    </row>
    <row r="145" spans="1:6" x14ac:dyDescent="0.5">
      <c r="A145" s="1">
        <v>44070</v>
      </c>
      <c r="B145">
        <v>234466.18331517366</v>
      </c>
      <c r="C145">
        <v>1.4909002369620126</v>
      </c>
      <c r="D145">
        <v>349565.68826417107</v>
      </c>
      <c r="E145">
        <v>240000</v>
      </c>
      <c r="F145">
        <v>0.45652370110071278</v>
      </c>
    </row>
    <row r="146" spans="1:6" x14ac:dyDescent="0.5">
      <c r="A146" s="1">
        <v>44069</v>
      </c>
      <c r="B146">
        <v>234466.18331517366</v>
      </c>
      <c r="C146">
        <v>1.4909002369620126</v>
      </c>
      <c r="D146">
        <v>349565.68826417107</v>
      </c>
      <c r="E146">
        <v>240000</v>
      </c>
      <c r="F146">
        <v>0.45652370110071278</v>
      </c>
    </row>
    <row r="147" spans="1:6" x14ac:dyDescent="0.5">
      <c r="A147" s="1">
        <v>44068</v>
      </c>
      <c r="B147">
        <v>234466.18331517366</v>
      </c>
      <c r="C147">
        <v>1.4909002369620126</v>
      </c>
      <c r="D147">
        <v>349565.68826417107</v>
      </c>
      <c r="E147">
        <v>240000</v>
      </c>
      <c r="F147">
        <v>0.45652370110071278</v>
      </c>
    </row>
    <row r="148" spans="1:6" x14ac:dyDescent="0.5">
      <c r="A148" s="1">
        <v>44067</v>
      </c>
      <c r="B148">
        <v>234466.18331517366</v>
      </c>
      <c r="C148">
        <v>1.4909002369620126</v>
      </c>
      <c r="D148">
        <v>349565.68826417107</v>
      </c>
      <c r="E148">
        <v>240000</v>
      </c>
      <c r="F148">
        <v>0.45652370110071278</v>
      </c>
    </row>
    <row r="149" spans="1:6" x14ac:dyDescent="0.5">
      <c r="A149" s="1">
        <v>44064</v>
      </c>
      <c r="B149">
        <v>234466.18331517366</v>
      </c>
      <c r="C149">
        <v>1.4909002369620126</v>
      </c>
      <c r="D149">
        <v>349565.68826417107</v>
      </c>
      <c r="E149">
        <v>240000</v>
      </c>
      <c r="F149">
        <v>0.45652370110071278</v>
      </c>
    </row>
    <row r="150" spans="1:6" x14ac:dyDescent="0.5">
      <c r="A150" s="1">
        <v>44063</v>
      </c>
      <c r="B150">
        <v>234466.18331517366</v>
      </c>
      <c r="C150">
        <v>1.4909002369620126</v>
      </c>
      <c r="D150">
        <v>349565.68826417107</v>
      </c>
      <c r="E150">
        <v>240000</v>
      </c>
      <c r="F150">
        <v>0.45652370110071278</v>
      </c>
    </row>
    <row r="151" spans="1:6" x14ac:dyDescent="0.5">
      <c r="A151" s="1">
        <v>44062</v>
      </c>
      <c r="B151">
        <v>234466.18331517366</v>
      </c>
      <c r="C151">
        <v>1.4909002369620126</v>
      </c>
      <c r="D151">
        <v>349565.68826417107</v>
      </c>
      <c r="E151">
        <v>240000</v>
      </c>
      <c r="F151">
        <v>0.45652370110071278</v>
      </c>
    </row>
    <row r="152" spans="1:6" x14ac:dyDescent="0.5">
      <c r="A152" s="1">
        <v>44061</v>
      </c>
      <c r="B152">
        <v>234466.18331517366</v>
      </c>
      <c r="C152">
        <v>1.4909002369620126</v>
      </c>
      <c r="D152">
        <v>349565.68826417107</v>
      </c>
      <c r="E152">
        <v>240000</v>
      </c>
      <c r="F152">
        <v>0.45652370110071278</v>
      </c>
    </row>
    <row r="153" spans="1:6" x14ac:dyDescent="0.5">
      <c r="A153" s="1">
        <v>44060</v>
      </c>
      <c r="B153">
        <v>234466.18331517366</v>
      </c>
      <c r="C153">
        <v>1.4909002369620126</v>
      </c>
      <c r="D153">
        <v>349565.68826417107</v>
      </c>
      <c r="E153">
        <v>240000</v>
      </c>
      <c r="F153">
        <v>0.45652370110071278</v>
      </c>
    </row>
    <row r="154" spans="1:6" x14ac:dyDescent="0.5">
      <c r="A154" s="1">
        <v>44057</v>
      </c>
      <c r="B154">
        <v>234466.18331517366</v>
      </c>
      <c r="C154">
        <v>1.4909002369620126</v>
      </c>
      <c r="D154">
        <v>349565.68826417107</v>
      </c>
      <c r="E154">
        <v>240000</v>
      </c>
      <c r="F154">
        <v>0.45652370110071278</v>
      </c>
    </row>
    <row r="155" spans="1:6" x14ac:dyDescent="0.5">
      <c r="A155" s="1">
        <v>44056</v>
      </c>
      <c r="B155">
        <v>234466.18331517366</v>
      </c>
      <c r="C155">
        <v>1.4909002369620126</v>
      </c>
      <c r="D155">
        <v>349565.68826417107</v>
      </c>
      <c r="E155">
        <v>240000</v>
      </c>
      <c r="F155">
        <v>0.45652370110071278</v>
      </c>
    </row>
    <row r="156" spans="1:6" x14ac:dyDescent="0.5">
      <c r="A156" s="1">
        <v>44055</v>
      </c>
      <c r="B156">
        <v>234466.18331517366</v>
      </c>
      <c r="C156">
        <v>1.4909002369620126</v>
      </c>
      <c r="D156">
        <v>349565.68826417107</v>
      </c>
      <c r="E156">
        <v>240000</v>
      </c>
      <c r="F156">
        <v>0.45652370110071278</v>
      </c>
    </row>
    <row r="157" spans="1:6" x14ac:dyDescent="0.5">
      <c r="A157" s="1">
        <v>44054</v>
      </c>
      <c r="B157">
        <v>234466.18331517366</v>
      </c>
      <c r="C157">
        <v>1.4955935853536728</v>
      </c>
      <c r="D157">
        <v>350666.11974853207</v>
      </c>
      <c r="E157">
        <v>240000</v>
      </c>
      <c r="F157">
        <v>0.46110883228555033</v>
      </c>
    </row>
    <row r="158" spans="1:6" x14ac:dyDescent="0.5">
      <c r="A158" s="1">
        <v>44053</v>
      </c>
      <c r="B158">
        <v>234466.18331517366</v>
      </c>
      <c r="C158">
        <v>1.4985034220737063</v>
      </c>
      <c r="D158">
        <v>351348.37805834867</v>
      </c>
      <c r="E158">
        <v>240000</v>
      </c>
      <c r="F158">
        <v>0.46395157524311942</v>
      </c>
    </row>
    <row r="159" spans="1:6" x14ac:dyDescent="0.5">
      <c r="A159" s="1">
        <v>44050</v>
      </c>
      <c r="B159">
        <v>234466.18331517366</v>
      </c>
      <c r="C159">
        <v>1.5056715161342322</v>
      </c>
      <c r="D159">
        <v>353029.05371436436</v>
      </c>
      <c r="E159">
        <v>240000</v>
      </c>
      <c r="F159">
        <v>0.47095439047651816</v>
      </c>
    </row>
    <row r="160" spans="1:6" x14ac:dyDescent="0.5">
      <c r="A160" s="1">
        <v>44049</v>
      </c>
      <c r="B160">
        <v>234466.18331517366</v>
      </c>
      <c r="C160">
        <v>1.543341479534583</v>
      </c>
      <c r="D160">
        <v>361861.38625846687</v>
      </c>
      <c r="E160">
        <v>240000</v>
      </c>
      <c r="F160">
        <v>0.50775577607694533</v>
      </c>
    </row>
    <row r="161" spans="1:6" x14ac:dyDescent="0.5">
      <c r="A161" s="1">
        <v>44048</v>
      </c>
      <c r="B161">
        <v>234466.18331517366</v>
      </c>
      <c r="C161">
        <v>1.5751906247353287</v>
      </c>
      <c r="D161">
        <v>369328.93377553648</v>
      </c>
      <c r="E161">
        <v>240000</v>
      </c>
      <c r="F161">
        <v>0.53887055739806866</v>
      </c>
    </row>
    <row r="162" spans="1:6" x14ac:dyDescent="0.5">
      <c r="A162" s="1">
        <v>44047</v>
      </c>
      <c r="B162">
        <v>234466.18331517366</v>
      </c>
      <c r="C162">
        <v>1.5613431703002218</v>
      </c>
      <c r="D162">
        <v>366082.17398550623</v>
      </c>
      <c r="E162">
        <v>240000</v>
      </c>
      <c r="F162">
        <v>0.52534239160627594</v>
      </c>
    </row>
    <row r="163" spans="1:6" x14ac:dyDescent="0.5">
      <c r="A163" s="1">
        <v>44046</v>
      </c>
      <c r="B163">
        <v>234466.18331517366</v>
      </c>
      <c r="C163">
        <v>1.582114351952882</v>
      </c>
      <c r="D163">
        <v>370952.31367055164</v>
      </c>
      <c r="E163">
        <v>240000</v>
      </c>
      <c r="F163">
        <v>0.54563464029396513</v>
      </c>
    </row>
    <row r="164" spans="1:6" x14ac:dyDescent="0.5">
      <c r="A164" s="1">
        <v>44104</v>
      </c>
      <c r="B164">
        <v>234466.18331517366</v>
      </c>
      <c r="C164">
        <v>1.4663664137706989</v>
      </c>
      <c r="D164">
        <v>343813.33637837449</v>
      </c>
      <c r="E164">
        <v>240000</v>
      </c>
      <c r="F164">
        <v>0.43255556824322705</v>
      </c>
    </row>
    <row r="165" spans="1:6" x14ac:dyDescent="0.5">
      <c r="A165" s="1">
        <v>44103</v>
      </c>
      <c r="B165">
        <v>234466.18331517366</v>
      </c>
      <c r="C165">
        <v>1.4611620802107033</v>
      </c>
      <c r="D165">
        <v>342593.09615186322</v>
      </c>
      <c r="E165">
        <v>240000</v>
      </c>
      <c r="F165">
        <v>0.42747123396609676</v>
      </c>
    </row>
    <row r="166" spans="1:6" x14ac:dyDescent="0.5">
      <c r="A166" s="1">
        <v>44102</v>
      </c>
      <c r="B166">
        <v>234466.18331517366</v>
      </c>
      <c r="C166">
        <v>1.4554669709849188</v>
      </c>
      <c r="D166">
        <v>341257.78562813054</v>
      </c>
      <c r="E166">
        <v>240000</v>
      </c>
      <c r="F166">
        <v>0.4219074401172106</v>
      </c>
    </row>
    <row r="167" spans="1:6" x14ac:dyDescent="0.5">
      <c r="A167" s="1">
        <v>44099</v>
      </c>
      <c r="B167">
        <v>234466.18331517366</v>
      </c>
      <c r="C167">
        <v>1.4635681792872426</v>
      </c>
      <c r="D167">
        <v>343157.2450190176</v>
      </c>
      <c r="E167">
        <v>240000</v>
      </c>
      <c r="F167">
        <v>0.42982185424590669</v>
      </c>
    </row>
    <row r="168" spans="1:6" x14ac:dyDescent="0.5">
      <c r="A168" s="1">
        <v>44098</v>
      </c>
      <c r="B168">
        <v>234466.18331517366</v>
      </c>
      <c r="C168">
        <v>1.4625985867995592</v>
      </c>
      <c r="D168">
        <v>342929.90836905938</v>
      </c>
      <c r="E168">
        <v>240000</v>
      </c>
      <c r="F168">
        <v>0.42887461820441408</v>
      </c>
    </row>
    <row r="169" spans="1:6" x14ac:dyDescent="0.5">
      <c r="A169" s="1">
        <v>44097</v>
      </c>
      <c r="B169">
        <v>234466.18331517366</v>
      </c>
      <c r="C169">
        <v>1.4655900051106874</v>
      </c>
      <c r="D169">
        <v>343631.29480316874</v>
      </c>
      <c r="E169">
        <v>240000</v>
      </c>
      <c r="F169">
        <v>0.43179706167986975</v>
      </c>
    </row>
    <row r="170" spans="1:6" x14ac:dyDescent="0.5">
      <c r="A170" s="1">
        <v>44096</v>
      </c>
      <c r="B170">
        <v>234466.18331517366</v>
      </c>
      <c r="C170">
        <v>1.4655900051106874</v>
      </c>
      <c r="D170">
        <v>343631.29480316874</v>
      </c>
      <c r="E170">
        <v>240000</v>
      </c>
      <c r="F170">
        <v>0.43179706167986975</v>
      </c>
    </row>
    <row r="171" spans="1:6" x14ac:dyDescent="0.5">
      <c r="A171" s="1">
        <v>44095</v>
      </c>
      <c r="B171">
        <v>234466.18331517366</v>
      </c>
      <c r="C171">
        <v>1.4655900051106874</v>
      </c>
      <c r="D171">
        <v>343631.29480316874</v>
      </c>
      <c r="E171">
        <v>240000</v>
      </c>
      <c r="F171">
        <v>0.43179706167986975</v>
      </c>
    </row>
    <row r="172" spans="1:6" x14ac:dyDescent="0.5">
      <c r="A172" s="1">
        <v>44092</v>
      </c>
      <c r="B172">
        <v>234466.18331517366</v>
      </c>
      <c r="C172">
        <v>1.4655900051106874</v>
      </c>
      <c r="D172">
        <v>343631.29480316874</v>
      </c>
      <c r="E172">
        <v>240000</v>
      </c>
      <c r="F172">
        <v>0.43179706167986975</v>
      </c>
    </row>
    <row r="173" spans="1:6" x14ac:dyDescent="0.5">
      <c r="A173" s="1">
        <v>44091</v>
      </c>
      <c r="B173">
        <v>234466.18331517366</v>
      </c>
      <c r="C173">
        <v>1.4652618844901462</v>
      </c>
      <c r="D173">
        <v>343554.36161360343</v>
      </c>
      <c r="E173">
        <v>240000</v>
      </c>
      <c r="F173">
        <v>0.43147650672334759</v>
      </c>
    </row>
    <row r="174" spans="1:6" x14ac:dyDescent="0.5">
      <c r="A174" s="1">
        <v>44090</v>
      </c>
      <c r="B174">
        <v>234466.18331517366</v>
      </c>
      <c r="C174">
        <v>1.4652618844901462</v>
      </c>
      <c r="D174">
        <v>343554.36161360343</v>
      </c>
      <c r="E174">
        <v>240000</v>
      </c>
      <c r="F174">
        <v>0.43147650672334759</v>
      </c>
    </row>
    <row r="175" spans="1:6" x14ac:dyDescent="0.5">
      <c r="A175" s="1">
        <v>44089</v>
      </c>
      <c r="B175">
        <v>234466.18331517366</v>
      </c>
      <c r="C175">
        <v>1.4652618844901462</v>
      </c>
      <c r="D175">
        <v>343554.36161360343</v>
      </c>
      <c r="E175">
        <v>240000</v>
      </c>
      <c r="F175">
        <v>0.43147650672334759</v>
      </c>
    </row>
    <row r="176" spans="1:6" x14ac:dyDescent="0.5">
      <c r="A176" s="1">
        <v>44088</v>
      </c>
      <c r="B176">
        <v>234466.18331517366</v>
      </c>
      <c r="C176">
        <v>1.4652618844901462</v>
      </c>
      <c r="D176">
        <v>343554.36161360343</v>
      </c>
      <c r="E176">
        <v>240000</v>
      </c>
      <c r="F176">
        <v>0.43147650672334759</v>
      </c>
    </row>
    <row r="177" spans="1:6" x14ac:dyDescent="0.5">
      <c r="A177" s="1">
        <v>44085</v>
      </c>
      <c r="B177">
        <v>234466.18331517366</v>
      </c>
      <c r="C177">
        <v>1.4652618844901462</v>
      </c>
      <c r="D177">
        <v>343554.36161360343</v>
      </c>
      <c r="E177">
        <v>240000</v>
      </c>
      <c r="F177">
        <v>0.43147650672334759</v>
      </c>
    </row>
    <row r="178" spans="1:6" x14ac:dyDescent="0.5">
      <c r="A178" s="1">
        <v>44084</v>
      </c>
      <c r="B178">
        <v>234466.18331517366</v>
      </c>
      <c r="C178">
        <v>1.4652618844901462</v>
      </c>
      <c r="D178">
        <v>343554.36161360343</v>
      </c>
      <c r="E178">
        <v>240000</v>
      </c>
      <c r="F178">
        <v>0.43147650672334759</v>
      </c>
    </row>
    <row r="179" spans="1:6" x14ac:dyDescent="0.5">
      <c r="A179" s="1">
        <v>44083</v>
      </c>
      <c r="B179">
        <v>234466.18331517366</v>
      </c>
      <c r="C179">
        <v>1.4652618844901462</v>
      </c>
      <c r="D179">
        <v>343554.36161360343</v>
      </c>
      <c r="E179">
        <v>240000</v>
      </c>
      <c r="F179">
        <v>0.43147650672334759</v>
      </c>
    </row>
    <row r="180" spans="1:6" x14ac:dyDescent="0.5">
      <c r="A180" s="1">
        <v>44082</v>
      </c>
      <c r="B180">
        <v>234466.18331517366</v>
      </c>
      <c r="C180">
        <v>1.468748245943243</v>
      </c>
      <c r="D180">
        <v>344371.79547716823</v>
      </c>
      <c r="E180">
        <v>240000</v>
      </c>
      <c r="F180">
        <v>0.43488248115486761</v>
      </c>
    </row>
    <row r="181" spans="1:6" x14ac:dyDescent="0.5">
      <c r="A181" s="1">
        <v>44081</v>
      </c>
      <c r="B181">
        <v>234466.18331517366</v>
      </c>
      <c r="C181">
        <v>1.468748245943243</v>
      </c>
      <c r="D181">
        <v>344371.79547716823</v>
      </c>
      <c r="E181">
        <v>240000</v>
      </c>
      <c r="F181">
        <v>0.43488248115486761</v>
      </c>
    </row>
    <row r="182" spans="1:6" x14ac:dyDescent="0.5">
      <c r="A182" s="1">
        <v>44078</v>
      </c>
      <c r="B182">
        <v>234466.18331517366</v>
      </c>
      <c r="C182">
        <v>1.4714059816304124</v>
      </c>
      <c r="D182">
        <v>344994.94461999933</v>
      </c>
      <c r="E182">
        <v>240000</v>
      </c>
      <c r="F182">
        <v>0.43747893591666387</v>
      </c>
    </row>
    <row r="183" spans="1:6" x14ac:dyDescent="0.5">
      <c r="A183" s="1">
        <v>44077</v>
      </c>
      <c r="B183">
        <v>234466.18331517366</v>
      </c>
      <c r="C183">
        <v>1.4808180188463176</v>
      </c>
      <c r="D183">
        <v>347201.74906323297</v>
      </c>
      <c r="E183">
        <v>240000</v>
      </c>
      <c r="F183">
        <v>0.44667395443013741</v>
      </c>
    </row>
    <row r="184" spans="1:6" x14ac:dyDescent="0.5">
      <c r="A184" s="1">
        <v>44076</v>
      </c>
      <c r="B184">
        <v>234466.18331517366</v>
      </c>
      <c r="C184">
        <v>1.4849205225023436</v>
      </c>
      <c r="D184">
        <v>348163.64743749797</v>
      </c>
      <c r="E184">
        <v>240000</v>
      </c>
      <c r="F184">
        <v>0.45068186432290824</v>
      </c>
    </row>
    <row r="185" spans="1:6" x14ac:dyDescent="0.5">
      <c r="A185" s="1">
        <v>44075</v>
      </c>
      <c r="B185">
        <v>234466.18331517366</v>
      </c>
      <c r="C185">
        <v>1.4837565878143302</v>
      </c>
      <c r="D185">
        <v>347890.7441135713</v>
      </c>
      <c r="E185">
        <v>240000</v>
      </c>
      <c r="F185">
        <v>0.4495447671398804</v>
      </c>
    </row>
    <row r="186" spans="1:6" x14ac:dyDescent="0.5">
      <c r="A186" s="1">
        <v>44134</v>
      </c>
      <c r="B186">
        <v>234466.18331517366</v>
      </c>
      <c r="C186">
        <v>1.473418204291171</v>
      </c>
      <c r="D186">
        <v>345466.7427872477</v>
      </c>
      <c r="E186">
        <v>240000</v>
      </c>
      <c r="F186">
        <v>0.43944476161353208</v>
      </c>
    </row>
    <row r="187" spans="1:6" x14ac:dyDescent="0.5">
      <c r="A187" s="1">
        <v>44133</v>
      </c>
      <c r="B187">
        <v>234466.18331517366</v>
      </c>
      <c r="C187">
        <v>1.4808162693385087</v>
      </c>
      <c r="D187">
        <v>347201.33886281436</v>
      </c>
      <c r="E187">
        <v>240000</v>
      </c>
      <c r="F187">
        <v>0.4466722452617265</v>
      </c>
    </row>
    <row r="188" spans="1:6" x14ac:dyDescent="0.5">
      <c r="A188" s="1">
        <v>44132</v>
      </c>
      <c r="B188">
        <v>234466.18331517366</v>
      </c>
      <c r="C188">
        <v>1.4808162693385087</v>
      </c>
      <c r="D188">
        <v>347201.33886281436</v>
      </c>
      <c r="E188">
        <v>240000</v>
      </c>
      <c r="F188">
        <v>0.4466722452617265</v>
      </c>
    </row>
    <row r="189" spans="1:6" x14ac:dyDescent="0.5">
      <c r="A189" s="1">
        <v>44131</v>
      </c>
      <c r="B189">
        <v>234466.18331517366</v>
      </c>
      <c r="C189">
        <v>1.4808162693385087</v>
      </c>
      <c r="D189">
        <v>347201.33886281436</v>
      </c>
      <c r="E189">
        <v>240000</v>
      </c>
      <c r="F189">
        <v>0.4466722452617265</v>
      </c>
    </row>
    <row r="190" spans="1:6" x14ac:dyDescent="0.5">
      <c r="A190" s="1">
        <v>44130</v>
      </c>
      <c r="B190">
        <v>234466.18331517366</v>
      </c>
      <c r="C190">
        <v>1.4808162693385087</v>
      </c>
      <c r="D190">
        <v>347201.33886281436</v>
      </c>
      <c r="E190">
        <v>240000</v>
      </c>
      <c r="F190">
        <v>0.4466722452617265</v>
      </c>
    </row>
    <row r="191" spans="1:6" x14ac:dyDescent="0.5">
      <c r="A191" s="1">
        <v>44127</v>
      </c>
      <c r="B191">
        <v>234466.18331517366</v>
      </c>
      <c r="C191">
        <v>1.4823992515712068</v>
      </c>
      <c r="D191">
        <v>347572.49466517079</v>
      </c>
      <c r="E191">
        <v>240000</v>
      </c>
      <c r="F191">
        <v>0.44821872777154492</v>
      </c>
    </row>
    <row r="192" spans="1:6" x14ac:dyDescent="0.5">
      <c r="A192" s="1">
        <v>44126</v>
      </c>
      <c r="B192">
        <v>234466.18331517366</v>
      </c>
      <c r="C192">
        <v>1.4914525240942043</v>
      </c>
      <c r="D192">
        <v>349695.18092015019</v>
      </c>
      <c r="E192">
        <v>240000</v>
      </c>
      <c r="F192">
        <v>0.45706325383395913</v>
      </c>
    </row>
    <row r="193" spans="1:6" x14ac:dyDescent="0.5">
      <c r="A193" s="1">
        <v>44125</v>
      </c>
      <c r="B193">
        <v>234466.18331517366</v>
      </c>
      <c r="C193">
        <v>1.5194202476745382</v>
      </c>
      <c r="D193">
        <v>356252.66632404487</v>
      </c>
      <c r="E193">
        <v>240000</v>
      </c>
      <c r="F193">
        <v>0.48438610968352031</v>
      </c>
    </row>
    <row r="194" spans="1:6" x14ac:dyDescent="0.5">
      <c r="A194" s="1">
        <v>44124</v>
      </c>
      <c r="B194">
        <v>234466.18331517366</v>
      </c>
      <c r="C194">
        <v>1.528200603007986</v>
      </c>
      <c r="D194">
        <v>358311.36272722937</v>
      </c>
      <c r="E194">
        <v>240000</v>
      </c>
      <c r="F194">
        <v>0.49296401136345569</v>
      </c>
    </row>
    <row r="195" spans="1:6" x14ac:dyDescent="0.5">
      <c r="A195" s="1">
        <v>44123</v>
      </c>
      <c r="B195">
        <v>234466.18331517366</v>
      </c>
      <c r="C195">
        <v>1.5089995658749413</v>
      </c>
      <c r="D195">
        <v>353809.36883495149</v>
      </c>
      <c r="E195">
        <v>240000</v>
      </c>
      <c r="F195">
        <v>0.47420570347896451</v>
      </c>
    </row>
    <row r="196" spans="1:6" x14ac:dyDescent="0.5">
      <c r="A196" s="1">
        <v>44120</v>
      </c>
      <c r="B196">
        <v>234466.18331517366</v>
      </c>
      <c r="C196">
        <v>1.5312313478148936</v>
      </c>
      <c r="D196">
        <v>359021.96989470726</v>
      </c>
      <c r="E196">
        <v>240000</v>
      </c>
      <c r="F196">
        <v>0.49592487456128026</v>
      </c>
    </row>
    <row r="197" spans="1:6" x14ac:dyDescent="0.5">
      <c r="A197" s="1">
        <v>44119</v>
      </c>
      <c r="B197">
        <v>234466.18331517366</v>
      </c>
      <c r="C197">
        <v>1.5289546710824589</v>
      </c>
      <c r="D197">
        <v>358488.16619061085</v>
      </c>
      <c r="E197">
        <v>240000</v>
      </c>
      <c r="F197">
        <v>0.49370069246087855</v>
      </c>
    </row>
    <row r="198" spans="1:6" x14ac:dyDescent="0.5">
      <c r="A198" s="1">
        <v>44118</v>
      </c>
      <c r="B198">
        <v>234466.18331517366</v>
      </c>
      <c r="C198">
        <v>1.5374177282347448</v>
      </c>
      <c r="D198">
        <v>360472.46690028551</v>
      </c>
      <c r="E198">
        <v>240000</v>
      </c>
      <c r="F198">
        <v>0.50196861208452292</v>
      </c>
    </row>
    <row r="199" spans="1:6" x14ac:dyDescent="0.5">
      <c r="A199" s="1">
        <v>44117</v>
      </c>
      <c r="B199">
        <v>234466.18331517366</v>
      </c>
      <c r="C199">
        <v>1.5433127586030635</v>
      </c>
      <c r="D199">
        <v>361854.65217127226</v>
      </c>
      <c r="E199">
        <v>240000</v>
      </c>
      <c r="F199">
        <v>0.50772771738030109</v>
      </c>
    </row>
    <row r="200" spans="1:6" x14ac:dyDescent="0.5">
      <c r="A200" s="1">
        <v>44116</v>
      </c>
      <c r="B200">
        <v>234466.18331517366</v>
      </c>
      <c r="C200">
        <v>1.5393432698112777</v>
      </c>
      <c r="D200">
        <v>360923.94128454989</v>
      </c>
      <c r="E200">
        <v>240000</v>
      </c>
      <c r="F200">
        <v>0.50384975535229115</v>
      </c>
    </row>
    <row r="201" spans="1:6" x14ac:dyDescent="0.5">
      <c r="A201" s="1">
        <v>44113</v>
      </c>
      <c r="B201">
        <v>234466.18331517366</v>
      </c>
      <c r="C201">
        <v>1.5095603144075473</v>
      </c>
      <c r="D201">
        <v>353940.84540319117</v>
      </c>
      <c r="E201">
        <v>240000</v>
      </c>
      <c r="F201">
        <v>0.47475352251329656</v>
      </c>
    </row>
    <row r="202" spans="1:6" x14ac:dyDescent="0.5">
      <c r="A202" s="1">
        <v>44165</v>
      </c>
      <c r="B202">
        <v>234466.18331517366</v>
      </c>
      <c r="C202">
        <v>1.4703223853574892</v>
      </c>
      <c r="D202">
        <v>344740.8779376325</v>
      </c>
      <c r="E202">
        <v>240000</v>
      </c>
      <c r="F202">
        <v>0.43642032474013542</v>
      </c>
    </row>
    <row r="203" spans="1:6" x14ac:dyDescent="0.5">
      <c r="A203" s="1">
        <v>44162</v>
      </c>
      <c r="B203">
        <v>234466.18331517366</v>
      </c>
      <c r="C203">
        <v>1.4733560698095904</v>
      </c>
      <c r="D203">
        <v>345452.17435249925</v>
      </c>
      <c r="E203">
        <v>240000</v>
      </c>
      <c r="F203">
        <v>0.43938405980208023</v>
      </c>
    </row>
    <row r="204" spans="1:6" x14ac:dyDescent="0.5">
      <c r="A204" s="1">
        <v>44161</v>
      </c>
      <c r="B204">
        <v>234466.18331517366</v>
      </c>
      <c r="C204">
        <v>1.4744875292161743</v>
      </c>
      <c r="D204">
        <v>345717.46332113701</v>
      </c>
      <c r="E204">
        <v>240000</v>
      </c>
      <c r="F204">
        <v>0.44048943050473754</v>
      </c>
    </row>
    <row r="205" spans="1:6" x14ac:dyDescent="0.5">
      <c r="A205" s="1">
        <v>44160</v>
      </c>
      <c r="B205">
        <v>234466.18331517366</v>
      </c>
      <c r="C205">
        <v>1.496313450453072</v>
      </c>
      <c r="D205">
        <v>350834.90377088997</v>
      </c>
      <c r="E205">
        <v>240000</v>
      </c>
      <c r="F205">
        <v>0.4618120990453749</v>
      </c>
    </row>
    <row r="206" spans="1:6" x14ac:dyDescent="0.5">
      <c r="A206" s="1">
        <v>44159</v>
      </c>
      <c r="B206">
        <v>234466.18331517366</v>
      </c>
      <c r="C206">
        <v>1.5182433153073025</v>
      </c>
      <c r="D206">
        <v>355976.71548387897</v>
      </c>
      <c r="E206">
        <v>240000</v>
      </c>
      <c r="F206">
        <v>0.48323631451616239</v>
      </c>
    </row>
    <row r="207" spans="1:6" x14ac:dyDescent="0.5">
      <c r="A207" s="1">
        <v>44158</v>
      </c>
      <c r="B207">
        <v>234466.18331517366</v>
      </c>
      <c r="C207">
        <v>1.5368008661996404</v>
      </c>
      <c r="D207">
        <v>360327.83361328254</v>
      </c>
      <c r="E207">
        <v>240000</v>
      </c>
      <c r="F207">
        <v>0.50136597338867728</v>
      </c>
    </row>
    <row r="208" spans="1:6" x14ac:dyDescent="0.5">
      <c r="A208" s="1">
        <v>44155</v>
      </c>
      <c r="B208">
        <v>234466.18331517366</v>
      </c>
      <c r="C208">
        <v>1.525534459975544</v>
      </c>
      <c r="D208">
        <v>357686.24234624038</v>
      </c>
      <c r="E208">
        <v>240000</v>
      </c>
      <c r="F208">
        <v>0.49035934310933493</v>
      </c>
    </row>
    <row r="209" spans="1:6" x14ac:dyDescent="0.5">
      <c r="A209" s="1">
        <v>44154</v>
      </c>
      <c r="B209">
        <v>234466.18331517366</v>
      </c>
      <c r="C209">
        <v>1.5197444220934195</v>
      </c>
      <c r="D209">
        <v>356328.67426276836</v>
      </c>
      <c r="E209">
        <v>240000</v>
      </c>
      <c r="F209">
        <v>0.48470280942820149</v>
      </c>
    </row>
    <row r="210" spans="1:6" x14ac:dyDescent="0.5">
      <c r="A210" s="1">
        <v>44153</v>
      </c>
      <c r="B210">
        <v>234466.18331517366</v>
      </c>
      <c r="C210">
        <v>1.4955838820878675</v>
      </c>
      <c r="D210">
        <v>350663.84466083301</v>
      </c>
      <c r="E210">
        <v>240000</v>
      </c>
      <c r="F210">
        <v>0.46109935275347086</v>
      </c>
    </row>
    <row r="211" spans="1:6" x14ac:dyDescent="0.5">
      <c r="A211" s="1">
        <v>44152</v>
      </c>
      <c r="B211">
        <v>234466.18331517366</v>
      </c>
      <c r="C211">
        <v>1.5112421859446421</v>
      </c>
      <c r="D211">
        <v>354335.18740332022</v>
      </c>
      <c r="E211">
        <v>240000</v>
      </c>
      <c r="F211">
        <v>0.47639661418050089</v>
      </c>
    </row>
    <row r="212" spans="1:6" x14ac:dyDescent="0.5">
      <c r="A212" s="1">
        <v>44151</v>
      </c>
      <c r="B212">
        <v>234466.18331517366</v>
      </c>
      <c r="C212">
        <v>1.5118059170738527</v>
      </c>
      <c r="D212">
        <v>354467.36328960216</v>
      </c>
      <c r="E212">
        <v>240000</v>
      </c>
      <c r="F212">
        <v>0.47694734704000902</v>
      </c>
    </row>
    <row r="213" spans="1:6" x14ac:dyDescent="0.5">
      <c r="A213" s="1">
        <v>44148</v>
      </c>
      <c r="B213">
        <v>234466.18331517366</v>
      </c>
      <c r="C213">
        <v>1.5119942271650724</v>
      </c>
      <c r="D213">
        <v>354511.51563797018</v>
      </c>
      <c r="E213">
        <v>240000</v>
      </c>
      <c r="F213">
        <v>0.47713131515820906</v>
      </c>
    </row>
    <row r="214" spans="1:6" x14ac:dyDescent="0.5">
      <c r="A214" s="1">
        <v>44147</v>
      </c>
      <c r="B214">
        <v>234466.18331517366</v>
      </c>
      <c r="C214">
        <v>1.5163449008763663</v>
      </c>
      <c r="D214">
        <v>355531.60149790696</v>
      </c>
      <c r="E214">
        <v>240000</v>
      </c>
      <c r="F214">
        <v>0.48138167290794565</v>
      </c>
    </row>
    <row r="215" spans="1:6" x14ac:dyDescent="0.5">
      <c r="A215" s="1">
        <v>44146</v>
      </c>
      <c r="B215">
        <v>234466.18331517366</v>
      </c>
      <c r="C215">
        <v>1.5022820453848995</v>
      </c>
      <c r="D215">
        <v>352234.3374443099</v>
      </c>
      <c r="E215">
        <v>240000</v>
      </c>
      <c r="F215">
        <v>0.46764307268462457</v>
      </c>
    </row>
    <row r="216" spans="1:6" x14ac:dyDescent="0.5">
      <c r="A216" s="1">
        <v>44145</v>
      </c>
      <c r="B216">
        <v>234466.18331517366</v>
      </c>
      <c r="C216">
        <v>1.5225975598042885</v>
      </c>
      <c r="D216">
        <v>356997.63857230841</v>
      </c>
      <c r="E216">
        <v>240000</v>
      </c>
      <c r="F216">
        <v>0.4874901607179517</v>
      </c>
    </row>
    <row r="217" spans="1:6" x14ac:dyDescent="0.5">
      <c r="A217" s="1">
        <v>44144</v>
      </c>
      <c r="B217">
        <v>234466.18331517366</v>
      </c>
      <c r="C217">
        <v>1.5469408588463631</v>
      </c>
      <c r="D217">
        <v>362705.31898800354</v>
      </c>
      <c r="E217">
        <v>240000</v>
      </c>
      <c r="F217">
        <v>0.51127216245001472</v>
      </c>
    </row>
    <row r="218" spans="1:6" x14ac:dyDescent="0.5">
      <c r="A218" s="1">
        <v>44141</v>
      </c>
      <c r="B218">
        <v>234466.18331517366</v>
      </c>
      <c r="C218">
        <v>1.5389494574657243</v>
      </c>
      <c r="D218">
        <v>360831.60560694558</v>
      </c>
      <c r="E218">
        <v>240000</v>
      </c>
      <c r="F218">
        <v>0.50346502336227328</v>
      </c>
    </row>
    <row r="219" spans="1:6" x14ac:dyDescent="0.5">
      <c r="A219" s="1">
        <v>44140</v>
      </c>
      <c r="B219">
        <v>234466.18331517366</v>
      </c>
      <c r="C219">
        <v>1.5293414482372647</v>
      </c>
      <c r="D219">
        <v>358578.85235389171</v>
      </c>
      <c r="E219">
        <v>240000</v>
      </c>
      <c r="F219">
        <v>0.49407855147454877</v>
      </c>
    </row>
    <row r="220" spans="1:6" x14ac:dyDescent="0.5">
      <c r="A220" s="1">
        <v>44139</v>
      </c>
      <c r="B220">
        <v>234466.18331517366</v>
      </c>
      <c r="C220">
        <v>1.5153594232908345</v>
      </c>
      <c r="D220">
        <v>355300.54032968462</v>
      </c>
      <c r="E220">
        <v>240000</v>
      </c>
      <c r="F220">
        <v>0.48041891804035258</v>
      </c>
    </row>
    <row r="221" spans="1:6" x14ac:dyDescent="0.5">
      <c r="A221" s="1">
        <v>44138</v>
      </c>
      <c r="B221">
        <v>234466.18331517366</v>
      </c>
      <c r="C221">
        <v>1.4964353675630502</v>
      </c>
      <c r="D221">
        <v>350863.48921034741</v>
      </c>
      <c r="E221">
        <v>240000</v>
      </c>
      <c r="F221">
        <v>0.46193120504311419</v>
      </c>
    </row>
    <row r="222" spans="1:6" x14ac:dyDescent="0.5">
      <c r="A222" s="1">
        <v>44137</v>
      </c>
      <c r="B222">
        <v>234466.18331517366</v>
      </c>
      <c r="C222">
        <v>1.4921561159188808</v>
      </c>
      <c r="D222">
        <v>349860.14940989384</v>
      </c>
      <c r="E222">
        <v>240000</v>
      </c>
      <c r="F222">
        <v>0.45775062254122434</v>
      </c>
    </row>
    <row r="223" spans="1:6" x14ac:dyDescent="0.5">
      <c r="A223" s="1">
        <v>44196</v>
      </c>
      <c r="B223">
        <v>234466.18331517366</v>
      </c>
      <c r="C223">
        <v>1.5505244346320113</v>
      </c>
      <c r="D223">
        <v>363545.54632508516</v>
      </c>
      <c r="E223">
        <v>240000</v>
      </c>
      <c r="F223">
        <v>0.51477310968785484</v>
      </c>
    </row>
    <row r="224" spans="1:6" x14ac:dyDescent="0.5">
      <c r="A224" s="1">
        <v>44195</v>
      </c>
      <c r="B224">
        <v>234466.18331517366</v>
      </c>
      <c r="C224">
        <v>1.4986604571691937</v>
      </c>
      <c r="D224">
        <v>351385.19747783412</v>
      </c>
      <c r="E224">
        <v>240000</v>
      </c>
      <c r="F224">
        <v>0.46410498949097551</v>
      </c>
    </row>
    <row r="225" spans="1:6" x14ac:dyDescent="0.5">
      <c r="A225" s="1">
        <v>44194</v>
      </c>
      <c r="B225">
        <v>234466.18331517366</v>
      </c>
      <c r="C225">
        <v>1.4591837831379497</v>
      </c>
      <c r="D225">
        <v>342129.25238775113</v>
      </c>
      <c r="E225">
        <v>240000</v>
      </c>
      <c r="F225">
        <v>0.4255385516156297</v>
      </c>
    </row>
    <row r="226" spans="1:6" x14ac:dyDescent="0.5">
      <c r="A226" s="1">
        <v>44193</v>
      </c>
      <c r="B226">
        <v>234466.18331517366</v>
      </c>
      <c r="C226">
        <v>1.4769923474720816</v>
      </c>
      <c r="D226">
        <v>346304.75849749777</v>
      </c>
      <c r="E226">
        <v>240000</v>
      </c>
      <c r="F226">
        <v>0.442936493739574</v>
      </c>
    </row>
    <row r="227" spans="1:6" x14ac:dyDescent="0.5">
      <c r="A227" s="1">
        <v>44190</v>
      </c>
      <c r="B227">
        <v>234466.18331517366</v>
      </c>
      <c r="C227">
        <v>1.4842833459546485</v>
      </c>
      <c r="D227">
        <v>348014.25108426192</v>
      </c>
      <c r="E227">
        <v>240000</v>
      </c>
      <c r="F227">
        <v>0.45005937951775804</v>
      </c>
    </row>
    <row r="228" spans="1:6" x14ac:dyDescent="0.5">
      <c r="A228" s="1">
        <v>44189</v>
      </c>
      <c r="B228">
        <v>234466.18331517366</v>
      </c>
      <c r="C228">
        <v>1.464667305367638</v>
      </c>
      <c r="D228">
        <v>343414.95291607006</v>
      </c>
      <c r="E228">
        <v>240000</v>
      </c>
      <c r="F228">
        <v>0.43089563715029194</v>
      </c>
    </row>
    <row r="229" spans="1:6" x14ac:dyDescent="0.5">
      <c r="A229" s="1">
        <v>44188</v>
      </c>
      <c r="B229">
        <v>234466.18331517366</v>
      </c>
      <c r="C229">
        <v>1.4726128141906143</v>
      </c>
      <c r="D229">
        <v>345277.90604429034</v>
      </c>
      <c r="E229">
        <v>240000</v>
      </c>
      <c r="F229">
        <v>0.43865794185120977</v>
      </c>
    </row>
    <row r="230" spans="1:6" x14ac:dyDescent="0.5">
      <c r="A230" s="1">
        <v>44187</v>
      </c>
      <c r="B230">
        <v>234466.18331517366</v>
      </c>
      <c r="C230">
        <v>1.4394938756540396</v>
      </c>
      <c r="D230">
        <v>337512.63493016985</v>
      </c>
      <c r="E230">
        <v>240000</v>
      </c>
      <c r="F230">
        <v>0.40630264554237439</v>
      </c>
    </row>
    <row r="231" spans="1:6" x14ac:dyDescent="0.5">
      <c r="A231" s="1">
        <v>44186</v>
      </c>
      <c r="B231">
        <v>234466.18331517366</v>
      </c>
      <c r="C231">
        <v>1.4860774648536414</v>
      </c>
      <c r="D231">
        <v>348434.91129492247</v>
      </c>
      <c r="E231">
        <v>240000</v>
      </c>
      <c r="F231">
        <v>0.45181213039551027</v>
      </c>
    </row>
    <row r="232" spans="1:6" x14ac:dyDescent="0.5">
      <c r="A232" s="1">
        <v>44183</v>
      </c>
      <c r="B232">
        <v>234466.18331517366</v>
      </c>
      <c r="C232">
        <v>1.4455959236587508</v>
      </c>
      <c r="D232">
        <v>338943.35883624043</v>
      </c>
      <c r="E232">
        <v>240000</v>
      </c>
      <c r="F232">
        <v>0.41226399515100176</v>
      </c>
    </row>
    <row r="233" spans="1:6" x14ac:dyDescent="0.5">
      <c r="A233" s="1">
        <v>44182</v>
      </c>
      <c r="B233">
        <v>234466.18331517366</v>
      </c>
      <c r="C233">
        <v>1.4466076081822496</v>
      </c>
      <c r="D233">
        <v>339180.56464518426</v>
      </c>
      <c r="E233">
        <v>240000</v>
      </c>
      <c r="F233">
        <v>0.41325235268826777</v>
      </c>
    </row>
    <row r="234" spans="1:6" x14ac:dyDescent="0.5">
      <c r="A234" s="1">
        <v>44181</v>
      </c>
      <c r="B234">
        <v>234466.18331517366</v>
      </c>
      <c r="C234">
        <v>1.4305645137777103</v>
      </c>
      <c r="D234">
        <v>335419.00153158692</v>
      </c>
      <c r="E234">
        <v>240000</v>
      </c>
      <c r="F234">
        <v>0.39757917304827883</v>
      </c>
    </row>
    <row r="235" spans="1:6" x14ac:dyDescent="0.5">
      <c r="A235" s="1">
        <v>44180</v>
      </c>
      <c r="B235">
        <v>234466.18331517366</v>
      </c>
      <c r="C235">
        <v>1.4438059433497326</v>
      </c>
      <c r="D235">
        <v>338523.66898497567</v>
      </c>
      <c r="E235">
        <v>240000</v>
      </c>
      <c r="F235">
        <v>0.41051528743739862</v>
      </c>
    </row>
    <row r="236" spans="1:6" x14ac:dyDescent="0.5">
      <c r="A236" s="1">
        <v>44179</v>
      </c>
      <c r="B236">
        <v>234466.18331517366</v>
      </c>
      <c r="C236">
        <v>1.4424315227285756</v>
      </c>
      <c r="D236">
        <v>338201.41382766329</v>
      </c>
      <c r="E236">
        <v>240000</v>
      </c>
      <c r="F236">
        <v>0.40917255761526372</v>
      </c>
    </row>
    <row r="237" spans="1:6" x14ac:dyDescent="0.5">
      <c r="A237" s="1">
        <v>44176</v>
      </c>
      <c r="B237">
        <v>234466.18331517366</v>
      </c>
      <c r="C237">
        <v>1.4242312156714616</v>
      </c>
      <c r="D237">
        <v>333934.05729681754</v>
      </c>
      <c r="E237">
        <v>240000</v>
      </c>
      <c r="F237">
        <v>0.3913919054034064</v>
      </c>
    </row>
    <row r="238" spans="1:6" x14ac:dyDescent="0.5">
      <c r="A238" s="1">
        <v>44175</v>
      </c>
      <c r="B238">
        <v>234466.18331517366</v>
      </c>
      <c r="C238">
        <v>1.441974197587744</v>
      </c>
      <c r="D238">
        <v>338094.18654735846</v>
      </c>
      <c r="E238">
        <v>240000</v>
      </c>
      <c r="F238">
        <v>0.40872577728066029</v>
      </c>
    </row>
    <row r="239" spans="1:6" x14ac:dyDescent="0.5">
      <c r="A239" s="1">
        <v>44174</v>
      </c>
      <c r="B239">
        <v>234466.18331517366</v>
      </c>
      <c r="C239">
        <v>1.4423309265257036</v>
      </c>
      <c r="D239">
        <v>338177.82741991989</v>
      </c>
      <c r="E239">
        <v>240000</v>
      </c>
      <c r="F239">
        <v>0.40907428091633291</v>
      </c>
    </row>
    <row r="240" spans="1:6" x14ac:dyDescent="0.5">
      <c r="A240" s="1">
        <v>44173</v>
      </c>
      <c r="B240">
        <v>234466.18331517366</v>
      </c>
      <c r="C240">
        <v>1.4730860148749989</v>
      </c>
      <c r="D240">
        <v>345388.85560270015</v>
      </c>
      <c r="E240">
        <v>240000</v>
      </c>
      <c r="F240">
        <v>0.43912023167791731</v>
      </c>
    </row>
    <row r="241" spans="1:6" x14ac:dyDescent="0.5">
      <c r="A241" s="1">
        <v>44172</v>
      </c>
      <c r="B241">
        <v>234466.18331517366</v>
      </c>
      <c r="C241">
        <v>1.4679957389829923</v>
      </c>
      <c r="D241">
        <v>344195.35804228007</v>
      </c>
      <c r="E241">
        <v>240000</v>
      </c>
      <c r="F241">
        <v>0.434147325176167</v>
      </c>
    </row>
    <row r="242" spans="1:6" x14ac:dyDescent="0.5">
      <c r="A242" s="1">
        <v>44169</v>
      </c>
      <c r="B242">
        <v>234466.18331517366</v>
      </c>
      <c r="C242">
        <v>1.4718555325153886</v>
      </c>
      <c r="D242">
        <v>345100.34910020564</v>
      </c>
      <c r="E242">
        <v>240000</v>
      </c>
      <c r="F242">
        <v>0.43791812125085683</v>
      </c>
    </row>
    <row r="243" spans="1:6" x14ac:dyDescent="0.5">
      <c r="A243" s="1">
        <v>44168</v>
      </c>
      <c r="B243">
        <v>234466.18331517366</v>
      </c>
      <c r="C243">
        <v>1.4702368255992297</v>
      </c>
      <c r="D243">
        <v>344720.81706766802</v>
      </c>
      <c r="E243">
        <v>240000</v>
      </c>
      <c r="F243">
        <v>0.43633673778195009</v>
      </c>
    </row>
    <row r="244" spans="1:6" x14ac:dyDescent="0.5">
      <c r="A244" s="1">
        <v>44167</v>
      </c>
      <c r="B244">
        <v>234466.18331517366</v>
      </c>
      <c r="C244">
        <v>1.4740253434153989</v>
      </c>
      <c r="D244">
        <v>345609.09638044675</v>
      </c>
      <c r="E244">
        <v>240000</v>
      </c>
      <c r="F244">
        <v>0.44003790158519479</v>
      </c>
    </row>
    <row r="245" spans="1:6" x14ac:dyDescent="0.5">
      <c r="A245" s="1">
        <v>44166</v>
      </c>
      <c r="B245">
        <v>234466.18331517366</v>
      </c>
      <c r="C245">
        <v>1.4716654271401506</v>
      </c>
      <c r="D245">
        <v>345055.77581844589</v>
      </c>
      <c r="E245">
        <v>240000</v>
      </c>
      <c r="F245">
        <v>0.43773239924352458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5FB76-250B-4FE0-8759-17B15CAF9F70}">
  <dimension ref="A3:C516"/>
  <sheetViews>
    <sheetView topLeftCell="A394" workbookViewId="0">
      <selection activeCell="B401" sqref="B401"/>
    </sheetView>
  </sheetViews>
  <sheetFormatPr defaultRowHeight="14.1" x14ac:dyDescent="0.5"/>
  <cols>
    <col min="1" max="1" width="10.34765625" bestFit="1" customWidth="1"/>
    <col min="2" max="3" width="14.59765625" bestFit="1" customWidth="1"/>
  </cols>
  <sheetData>
    <row r="3" spans="1:3" x14ac:dyDescent="0.5">
      <c r="A3" s="15" t="s">
        <v>22</v>
      </c>
      <c r="B3" t="s">
        <v>25</v>
      </c>
      <c r="C3" t="s">
        <v>31</v>
      </c>
    </row>
    <row r="4" spans="1:3" x14ac:dyDescent="0.5">
      <c r="A4" s="16">
        <v>43431</v>
      </c>
      <c r="B4" s="14">
        <v>41.632959413003846</v>
      </c>
      <c r="C4" s="14">
        <v>30000</v>
      </c>
    </row>
    <row r="5" spans="1:3" x14ac:dyDescent="0.5">
      <c r="A5" s="16">
        <v>43432</v>
      </c>
      <c r="B5" s="14">
        <v>367.42275063305351</v>
      </c>
      <c r="C5" s="14">
        <v>30000</v>
      </c>
    </row>
    <row r="6" spans="1:3" x14ac:dyDescent="0.5">
      <c r="A6" s="16">
        <v>43433</v>
      </c>
      <c r="B6" s="14">
        <v>121.04159049128793</v>
      </c>
      <c r="C6" s="14">
        <v>30000</v>
      </c>
    </row>
    <row r="7" spans="1:3" x14ac:dyDescent="0.5">
      <c r="A7" s="16">
        <v>43434</v>
      </c>
      <c r="B7" s="14">
        <v>322.15532497253298</v>
      </c>
      <c r="C7" s="14">
        <v>30000</v>
      </c>
    </row>
    <row r="8" spans="1:3" x14ac:dyDescent="0.5">
      <c r="A8" s="16">
        <v>43437</v>
      </c>
      <c r="B8" s="14">
        <v>949.09084949178941</v>
      </c>
      <c r="C8" s="14">
        <v>30000</v>
      </c>
    </row>
    <row r="9" spans="1:3" x14ac:dyDescent="0.5">
      <c r="A9" s="16">
        <v>43438</v>
      </c>
      <c r="B9" s="14">
        <v>950.23466652609204</v>
      </c>
      <c r="C9" s="14">
        <v>30000</v>
      </c>
    </row>
    <row r="10" spans="1:3" x14ac:dyDescent="0.5">
      <c r="A10" s="16">
        <v>43439</v>
      </c>
      <c r="B10" s="14">
        <v>826.64300775486117</v>
      </c>
      <c r="C10" s="14">
        <v>30000</v>
      </c>
    </row>
    <row r="11" spans="1:3" x14ac:dyDescent="0.5">
      <c r="A11" s="16">
        <v>43440</v>
      </c>
      <c r="B11" s="14">
        <v>393.43839867728093</v>
      </c>
      <c r="C11" s="14">
        <v>30000</v>
      </c>
    </row>
    <row r="12" spans="1:3" x14ac:dyDescent="0.5">
      <c r="A12" s="16">
        <v>43441</v>
      </c>
      <c r="B12" s="14">
        <v>354.52386156658395</v>
      </c>
      <c r="C12" s="14">
        <v>30000</v>
      </c>
    </row>
    <row r="13" spans="1:3" x14ac:dyDescent="0.5">
      <c r="A13" s="16">
        <v>43444</v>
      </c>
      <c r="B13" s="14">
        <v>83.176790225923469</v>
      </c>
      <c r="C13" s="14">
        <v>30000</v>
      </c>
    </row>
    <row r="14" spans="1:3" x14ac:dyDescent="0.5">
      <c r="A14" s="16">
        <v>43445</v>
      </c>
      <c r="B14" s="14">
        <v>196.76623943312734</v>
      </c>
      <c r="C14" s="14">
        <v>30000</v>
      </c>
    </row>
    <row r="15" spans="1:3" x14ac:dyDescent="0.5">
      <c r="A15" s="16">
        <v>43446</v>
      </c>
      <c r="B15" s="14">
        <v>243.65283466167966</v>
      </c>
      <c r="C15" s="14">
        <v>30000</v>
      </c>
    </row>
    <row r="16" spans="1:3" x14ac:dyDescent="0.5">
      <c r="A16" s="16">
        <v>43447</v>
      </c>
      <c r="B16" s="14">
        <v>614.93287304243495</v>
      </c>
      <c r="C16" s="14">
        <v>30000</v>
      </c>
    </row>
    <row r="17" spans="1:3" x14ac:dyDescent="0.5">
      <c r="A17" s="16">
        <v>43448</v>
      </c>
      <c r="B17" s="14">
        <v>226.96406853001827</v>
      </c>
      <c r="C17" s="14">
        <v>30000</v>
      </c>
    </row>
    <row r="18" spans="1:3" x14ac:dyDescent="0.5">
      <c r="A18" s="16">
        <v>43451</v>
      </c>
      <c r="B18" s="14">
        <v>185.67970890938159</v>
      </c>
      <c r="C18" s="14">
        <v>30000</v>
      </c>
    </row>
    <row r="19" spans="1:3" x14ac:dyDescent="0.5">
      <c r="A19" s="16">
        <v>43452</v>
      </c>
      <c r="B19" s="14">
        <v>-95.910132366076141</v>
      </c>
      <c r="C19" s="14">
        <v>30000</v>
      </c>
    </row>
    <row r="20" spans="1:3" x14ac:dyDescent="0.5">
      <c r="A20" s="16">
        <v>43453</v>
      </c>
      <c r="B20" s="14">
        <v>-387.77486508071524</v>
      </c>
      <c r="C20" s="14">
        <v>30000</v>
      </c>
    </row>
    <row r="21" spans="1:3" x14ac:dyDescent="0.5">
      <c r="A21" s="16">
        <v>43454</v>
      </c>
      <c r="B21" s="14">
        <v>-556.44150444445404</v>
      </c>
      <c r="C21" s="14">
        <v>30000</v>
      </c>
    </row>
    <row r="22" spans="1:3" x14ac:dyDescent="0.5">
      <c r="A22" s="16">
        <v>43455</v>
      </c>
      <c r="B22" s="14">
        <v>-862.84792390002258</v>
      </c>
      <c r="C22" s="14">
        <v>30000</v>
      </c>
    </row>
    <row r="23" spans="1:3" x14ac:dyDescent="0.5">
      <c r="A23" s="16">
        <v>43458</v>
      </c>
      <c r="B23" s="14">
        <v>-782.68142581393113</v>
      </c>
      <c r="C23" s="14">
        <v>30000</v>
      </c>
    </row>
    <row r="24" spans="1:3" x14ac:dyDescent="0.5">
      <c r="A24" s="16">
        <v>43459</v>
      </c>
      <c r="B24" s="14">
        <v>-968.60984238728633</v>
      </c>
      <c r="C24" s="14">
        <v>30000</v>
      </c>
    </row>
    <row r="25" spans="1:3" x14ac:dyDescent="0.5">
      <c r="A25" s="16">
        <v>43460</v>
      </c>
      <c r="B25" s="14">
        <v>-1110.261772206577</v>
      </c>
      <c r="C25" s="14">
        <v>30000</v>
      </c>
    </row>
    <row r="26" spans="1:3" x14ac:dyDescent="0.5">
      <c r="A26" s="16">
        <v>43461</v>
      </c>
      <c r="B26" s="14">
        <v>-1152.8147997913402</v>
      </c>
      <c r="C26" s="14">
        <v>30000</v>
      </c>
    </row>
    <row r="27" spans="1:3" x14ac:dyDescent="0.5">
      <c r="A27" s="16">
        <v>43462</v>
      </c>
      <c r="B27" s="14">
        <v>-1092.5757983502299</v>
      </c>
      <c r="C27" s="14">
        <v>30000</v>
      </c>
    </row>
    <row r="28" spans="1:3" x14ac:dyDescent="0.5">
      <c r="A28" s="16">
        <v>43467</v>
      </c>
      <c r="B28" s="14">
        <v>-1355.9265146299949</v>
      </c>
      <c r="C28" s="14">
        <v>30000</v>
      </c>
    </row>
    <row r="29" spans="1:3" x14ac:dyDescent="0.5">
      <c r="A29" s="16">
        <v>43468</v>
      </c>
      <c r="B29" s="14">
        <v>-1106.9392310499388</v>
      </c>
      <c r="C29" s="14">
        <v>90000</v>
      </c>
    </row>
    <row r="30" spans="1:3" x14ac:dyDescent="0.5">
      <c r="A30" s="16">
        <v>43469</v>
      </c>
      <c r="B30" s="14">
        <v>656.67817140238185</v>
      </c>
      <c r="C30" s="14">
        <v>90000</v>
      </c>
    </row>
    <row r="31" spans="1:3" x14ac:dyDescent="0.5">
      <c r="A31" s="16">
        <v>43472</v>
      </c>
      <c r="B31" s="14">
        <v>1408.8770537786477</v>
      </c>
      <c r="C31" s="14">
        <v>90000</v>
      </c>
    </row>
    <row r="32" spans="1:3" x14ac:dyDescent="0.5">
      <c r="A32" s="16">
        <v>43473</v>
      </c>
      <c r="B32" s="14">
        <v>1249.7787183317269</v>
      </c>
      <c r="C32" s="14">
        <v>90000</v>
      </c>
    </row>
    <row r="33" spans="1:3" x14ac:dyDescent="0.5">
      <c r="A33" s="16">
        <v>43474</v>
      </c>
      <c r="B33" s="14">
        <v>1650.0087899046048</v>
      </c>
      <c r="C33" s="14">
        <v>90000</v>
      </c>
    </row>
    <row r="34" spans="1:3" x14ac:dyDescent="0.5">
      <c r="A34" s="16">
        <v>43475</v>
      </c>
      <c r="B34" s="14">
        <v>1613.6181341769552</v>
      </c>
      <c r="C34" s="14">
        <v>90000</v>
      </c>
    </row>
    <row r="35" spans="1:3" x14ac:dyDescent="0.5">
      <c r="A35" s="16">
        <v>43476</v>
      </c>
      <c r="B35" s="14">
        <v>2295.3722269048158</v>
      </c>
      <c r="C35" s="14">
        <v>90000</v>
      </c>
    </row>
    <row r="36" spans="1:3" x14ac:dyDescent="0.5">
      <c r="A36" s="16">
        <v>43479</v>
      </c>
      <c r="B36" s="14">
        <v>1626.6167152634298</v>
      </c>
      <c r="C36" s="14">
        <v>90000</v>
      </c>
    </row>
    <row r="37" spans="1:3" x14ac:dyDescent="0.5">
      <c r="A37" s="16">
        <v>43480</v>
      </c>
      <c r="B37" s="14">
        <v>2903.7541635825182</v>
      </c>
      <c r="C37" s="14">
        <v>90000</v>
      </c>
    </row>
    <row r="38" spans="1:3" x14ac:dyDescent="0.5">
      <c r="A38" s="16">
        <v>43481</v>
      </c>
      <c r="B38" s="14">
        <v>1747.7130006331281</v>
      </c>
      <c r="C38" s="14">
        <v>90000</v>
      </c>
    </row>
    <row r="39" spans="1:3" x14ac:dyDescent="0.5">
      <c r="A39" s="16">
        <v>43482</v>
      </c>
      <c r="B39" s="14">
        <v>1255.1500328302936</v>
      </c>
      <c r="C39" s="14">
        <v>90000</v>
      </c>
    </row>
    <row r="40" spans="1:3" x14ac:dyDescent="0.5">
      <c r="A40" s="16">
        <v>43483</v>
      </c>
      <c r="B40" s="14">
        <v>3538.8315333179926</v>
      </c>
      <c r="C40" s="14">
        <v>90000</v>
      </c>
    </row>
    <row r="41" spans="1:3" x14ac:dyDescent="0.5">
      <c r="A41" s="16">
        <v>43486</v>
      </c>
      <c r="B41" s="14">
        <v>3956.7600861635437</v>
      </c>
      <c r="C41" s="14">
        <v>90000</v>
      </c>
    </row>
    <row r="42" spans="1:3" x14ac:dyDescent="0.5">
      <c r="A42" s="16">
        <v>43487</v>
      </c>
      <c r="B42" s="14">
        <v>2969.0022064536024</v>
      </c>
      <c r="C42" s="14">
        <v>90000</v>
      </c>
    </row>
    <row r="43" spans="1:3" x14ac:dyDescent="0.5">
      <c r="A43" s="16">
        <v>43488</v>
      </c>
      <c r="B43" s="14">
        <v>2835.5653260234685</v>
      </c>
      <c r="C43" s="14">
        <v>90000</v>
      </c>
    </row>
    <row r="44" spans="1:3" x14ac:dyDescent="0.5">
      <c r="A44" s="16">
        <v>43489</v>
      </c>
      <c r="B44" s="14">
        <v>3453.9916208134673</v>
      </c>
      <c r="C44" s="14">
        <v>90000</v>
      </c>
    </row>
    <row r="45" spans="1:3" x14ac:dyDescent="0.5">
      <c r="A45" s="16">
        <v>43490</v>
      </c>
      <c r="B45" s="14">
        <v>3860.0227120447526</v>
      </c>
      <c r="C45" s="14">
        <v>90000</v>
      </c>
    </row>
    <row r="46" spans="1:3" x14ac:dyDescent="0.5">
      <c r="A46" s="16">
        <v>43493</v>
      </c>
      <c r="B46" s="14">
        <v>3716.1251966287236</v>
      </c>
      <c r="C46" s="14">
        <v>90000</v>
      </c>
    </row>
    <row r="47" spans="1:3" x14ac:dyDescent="0.5">
      <c r="A47" s="16">
        <v>43494</v>
      </c>
      <c r="B47" s="14">
        <v>3734.8576559424109</v>
      </c>
      <c r="C47" s="14">
        <v>90000</v>
      </c>
    </row>
    <row r="48" spans="1:3" x14ac:dyDescent="0.5">
      <c r="A48" s="16">
        <v>43495</v>
      </c>
      <c r="B48" s="14">
        <v>3324.6637959747459</v>
      </c>
      <c r="C48" s="14">
        <v>90000</v>
      </c>
    </row>
    <row r="49" spans="1:3" x14ac:dyDescent="0.5">
      <c r="A49" s="16">
        <v>43496</v>
      </c>
      <c r="B49" s="14">
        <v>3846.2587186422315</v>
      </c>
      <c r="C49" s="14">
        <v>90000</v>
      </c>
    </row>
    <row r="50" spans="1:3" x14ac:dyDescent="0.5">
      <c r="A50" s="16">
        <v>43497</v>
      </c>
      <c r="B50" s="14">
        <v>5196.7817512977053</v>
      </c>
      <c r="C50" s="14">
        <v>90000</v>
      </c>
    </row>
    <row r="51" spans="1:3" x14ac:dyDescent="0.5">
      <c r="A51" s="16">
        <v>43507</v>
      </c>
      <c r="B51" s="14">
        <v>6327.9805846912932</v>
      </c>
      <c r="C51" s="14">
        <v>90000</v>
      </c>
    </row>
    <row r="52" spans="1:3" x14ac:dyDescent="0.5">
      <c r="A52" s="16">
        <v>43508</v>
      </c>
      <c r="B52" s="14">
        <v>6902.3755288794637</v>
      </c>
      <c r="C52" s="14">
        <v>90000</v>
      </c>
    </row>
    <row r="53" spans="1:3" x14ac:dyDescent="0.5">
      <c r="A53" s="16">
        <v>43509</v>
      </c>
      <c r="B53" s="14">
        <v>8534.4628675486892</v>
      </c>
      <c r="C53" s="14">
        <v>90000</v>
      </c>
    </row>
    <row r="54" spans="1:3" x14ac:dyDescent="0.5">
      <c r="A54" s="16">
        <v>43510</v>
      </c>
      <c r="B54" s="14">
        <v>8626.876333496155</v>
      </c>
      <c r="C54" s="14">
        <v>90000</v>
      </c>
    </row>
    <row r="55" spans="1:3" x14ac:dyDescent="0.5">
      <c r="A55" s="16">
        <v>43511</v>
      </c>
      <c r="B55" s="14">
        <v>7406.2719702742615</v>
      </c>
      <c r="C55" s="14">
        <v>90000</v>
      </c>
    </row>
    <row r="56" spans="1:3" x14ac:dyDescent="0.5">
      <c r="A56" s="16">
        <v>43514</v>
      </c>
      <c r="B56" s="14">
        <v>9894.2648460003693</v>
      </c>
      <c r="C56" s="14">
        <v>90000</v>
      </c>
    </row>
    <row r="57" spans="1:3" x14ac:dyDescent="0.5">
      <c r="A57" s="16">
        <v>43515</v>
      </c>
      <c r="B57" s="14">
        <v>9866.360867180425</v>
      </c>
      <c r="C57" s="14">
        <v>90000</v>
      </c>
    </row>
    <row r="58" spans="1:3" x14ac:dyDescent="0.5">
      <c r="A58" s="16">
        <v>43516</v>
      </c>
      <c r="B58" s="14">
        <v>9938.3096248884685</v>
      </c>
      <c r="C58" s="14">
        <v>90000</v>
      </c>
    </row>
    <row r="59" spans="1:3" x14ac:dyDescent="0.5">
      <c r="A59" s="16">
        <v>43517</v>
      </c>
      <c r="B59" s="14">
        <v>9729.7549111961853</v>
      </c>
      <c r="C59" s="14">
        <v>90000</v>
      </c>
    </row>
    <row r="60" spans="1:3" x14ac:dyDescent="0.5">
      <c r="A60" s="16">
        <v>43518</v>
      </c>
      <c r="B60" s="14">
        <v>11840.963503135616</v>
      </c>
      <c r="C60" s="14">
        <v>90000</v>
      </c>
    </row>
    <row r="61" spans="1:3" x14ac:dyDescent="0.5">
      <c r="A61" s="16">
        <v>43521</v>
      </c>
      <c r="B61" s="14">
        <v>17630.824255693675</v>
      </c>
      <c r="C61" s="14">
        <v>90000</v>
      </c>
    </row>
    <row r="62" spans="1:3" x14ac:dyDescent="0.5">
      <c r="A62" s="16">
        <v>43522</v>
      </c>
      <c r="B62" s="14">
        <v>15693.297118064715</v>
      </c>
      <c r="C62" s="14">
        <v>90000</v>
      </c>
    </row>
    <row r="63" spans="1:3" x14ac:dyDescent="0.5">
      <c r="A63" s="16">
        <v>43523</v>
      </c>
      <c r="B63" s="14">
        <v>15524.436418516707</v>
      </c>
      <c r="C63" s="14">
        <v>90000</v>
      </c>
    </row>
    <row r="64" spans="1:3" x14ac:dyDescent="0.5">
      <c r="A64" s="16">
        <v>43524</v>
      </c>
      <c r="B64" s="14">
        <v>15329.068281918357</v>
      </c>
      <c r="C64" s="14">
        <v>90000</v>
      </c>
    </row>
    <row r="65" spans="1:3" x14ac:dyDescent="0.5">
      <c r="A65" s="16">
        <v>43525</v>
      </c>
      <c r="B65" s="14">
        <v>16744.623162036325</v>
      </c>
      <c r="C65" s="14">
        <v>90000</v>
      </c>
    </row>
    <row r="66" spans="1:3" x14ac:dyDescent="0.5">
      <c r="A66" s="16">
        <v>43528</v>
      </c>
      <c r="B66" s="14">
        <v>17571.080467355001</v>
      </c>
      <c r="C66" s="14">
        <v>90000</v>
      </c>
    </row>
    <row r="67" spans="1:3" x14ac:dyDescent="0.5">
      <c r="A67" s="16">
        <v>43529</v>
      </c>
      <c r="B67" s="14">
        <v>18413.598003024294</v>
      </c>
      <c r="C67" s="14">
        <v>90000</v>
      </c>
    </row>
    <row r="68" spans="1:3" x14ac:dyDescent="0.5">
      <c r="A68" s="16">
        <v>43530</v>
      </c>
      <c r="B68" s="14">
        <v>18991.511158209032</v>
      </c>
      <c r="C68" s="14">
        <v>90000</v>
      </c>
    </row>
    <row r="69" spans="1:3" x14ac:dyDescent="0.5">
      <c r="A69" s="16">
        <v>43531</v>
      </c>
      <c r="B69" s="14">
        <v>18229.281346006726</v>
      </c>
      <c r="C69" s="14">
        <v>90000</v>
      </c>
    </row>
    <row r="70" spans="1:3" x14ac:dyDescent="0.5">
      <c r="A70" s="16">
        <v>43532</v>
      </c>
      <c r="B70" s="14">
        <v>15685.722221793141</v>
      </c>
      <c r="C70" s="14">
        <v>90000</v>
      </c>
    </row>
    <row r="71" spans="1:3" x14ac:dyDescent="0.5">
      <c r="A71" s="16">
        <v>43535</v>
      </c>
      <c r="B71" s="14">
        <v>17039.29347542653</v>
      </c>
      <c r="C71" s="14">
        <v>90000</v>
      </c>
    </row>
    <row r="72" spans="1:3" x14ac:dyDescent="0.5">
      <c r="A72" s="16">
        <v>43536</v>
      </c>
      <c r="B72" s="14">
        <v>18003.806991644044</v>
      </c>
      <c r="C72" s="14">
        <v>90000</v>
      </c>
    </row>
    <row r="73" spans="1:3" x14ac:dyDescent="0.5">
      <c r="A73" s="16">
        <v>43537</v>
      </c>
      <c r="B73" s="14">
        <v>17243.712276954917</v>
      </c>
      <c r="C73" s="14">
        <v>90000</v>
      </c>
    </row>
    <row r="74" spans="1:3" x14ac:dyDescent="0.5">
      <c r="A74" s="16">
        <v>43538</v>
      </c>
      <c r="B74" s="14">
        <v>16406.122922338036</v>
      </c>
      <c r="C74" s="14">
        <v>90000</v>
      </c>
    </row>
    <row r="75" spans="1:3" x14ac:dyDescent="0.5">
      <c r="A75" s="16">
        <v>43539</v>
      </c>
      <c r="B75" s="14">
        <v>17164.84795183003</v>
      </c>
      <c r="C75" s="14">
        <v>90000</v>
      </c>
    </row>
    <row r="76" spans="1:3" x14ac:dyDescent="0.5">
      <c r="A76" s="16">
        <v>43542</v>
      </c>
      <c r="B76" s="14">
        <v>19270.577802980959</v>
      </c>
      <c r="C76" s="14">
        <v>90000</v>
      </c>
    </row>
    <row r="77" spans="1:3" x14ac:dyDescent="0.5">
      <c r="A77" s="16">
        <v>43543</v>
      </c>
      <c r="B77" s="14">
        <v>19026.169565010874</v>
      </c>
      <c r="C77" s="14">
        <v>90000</v>
      </c>
    </row>
    <row r="78" spans="1:3" x14ac:dyDescent="0.5">
      <c r="A78" s="16">
        <v>43544</v>
      </c>
      <c r="B78" s="14">
        <v>18841.659540671346</v>
      </c>
      <c r="C78" s="14">
        <v>90000</v>
      </c>
    </row>
    <row r="79" spans="1:3" x14ac:dyDescent="0.5">
      <c r="A79" s="16">
        <v>43545</v>
      </c>
      <c r="B79" s="14">
        <v>18972.545046714644</v>
      </c>
      <c r="C79" s="14">
        <v>90000</v>
      </c>
    </row>
    <row r="80" spans="1:3" x14ac:dyDescent="0.5">
      <c r="A80" s="16">
        <v>43546</v>
      </c>
      <c r="B80" s="14">
        <v>19192.25866627763</v>
      </c>
      <c r="C80" s="14">
        <v>90000</v>
      </c>
    </row>
    <row r="81" spans="1:3" x14ac:dyDescent="0.5">
      <c r="A81" s="16">
        <v>43549</v>
      </c>
      <c r="B81" s="14">
        <v>18214.719712401158</v>
      </c>
      <c r="C81" s="14">
        <v>90000</v>
      </c>
    </row>
    <row r="82" spans="1:3" x14ac:dyDescent="0.5">
      <c r="A82" s="16">
        <v>43550</v>
      </c>
      <c r="B82" s="14">
        <v>16841.811726573011</v>
      </c>
      <c r="C82" s="14">
        <v>90000</v>
      </c>
    </row>
    <row r="83" spans="1:3" x14ac:dyDescent="0.5">
      <c r="A83" s="16">
        <v>43551</v>
      </c>
      <c r="B83" s="14">
        <v>17242.659499313202</v>
      </c>
      <c r="C83" s="14">
        <v>90000</v>
      </c>
    </row>
    <row r="84" spans="1:3" x14ac:dyDescent="0.5">
      <c r="A84" s="16">
        <v>43552</v>
      </c>
      <c r="B84" s="14">
        <v>16943.477281744228</v>
      </c>
      <c r="C84" s="14">
        <v>90000</v>
      </c>
    </row>
    <row r="85" spans="1:3" x14ac:dyDescent="0.5">
      <c r="A85" s="16">
        <v>43553</v>
      </c>
      <c r="B85" s="14">
        <v>19910.725693603061</v>
      </c>
      <c r="C85" s="14">
        <v>90000</v>
      </c>
    </row>
    <row r="86" spans="1:3" x14ac:dyDescent="0.5">
      <c r="A86" s="16">
        <v>43556</v>
      </c>
      <c r="B86" s="14">
        <v>22278.253413413069</v>
      </c>
      <c r="C86" s="14">
        <v>90000</v>
      </c>
    </row>
    <row r="87" spans="1:3" x14ac:dyDescent="0.5">
      <c r="A87" s="16">
        <v>43557</v>
      </c>
      <c r="B87" s="14">
        <v>22194.635474956958</v>
      </c>
      <c r="C87" s="14">
        <v>90000</v>
      </c>
    </row>
    <row r="88" spans="1:3" x14ac:dyDescent="0.5">
      <c r="A88" s="16">
        <v>43558</v>
      </c>
      <c r="B88" s="14">
        <v>23170.979311357514</v>
      </c>
      <c r="C88" s="14">
        <v>90000</v>
      </c>
    </row>
    <row r="89" spans="1:3" x14ac:dyDescent="0.5">
      <c r="A89" s="16">
        <v>43559</v>
      </c>
      <c r="B89" s="14">
        <v>23972.124297101793</v>
      </c>
      <c r="C89" s="14">
        <v>90000</v>
      </c>
    </row>
    <row r="90" spans="1:3" x14ac:dyDescent="0.5">
      <c r="A90" s="16">
        <v>43563</v>
      </c>
      <c r="B90" s="14">
        <v>23311.976316944332</v>
      </c>
      <c r="C90" s="14">
        <v>90000</v>
      </c>
    </row>
    <row r="91" spans="1:3" x14ac:dyDescent="0.5">
      <c r="A91" s="16">
        <v>43564</v>
      </c>
      <c r="B91" s="14">
        <v>23593.956899831697</v>
      </c>
      <c r="C91" s="14">
        <v>90000</v>
      </c>
    </row>
    <row r="92" spans="1:3" x14ac:dyDescent="0.5">
      <c r="A92" s="16">
        <v>43565</v>
      </c>
      <c r="B92" s="14">
        <v>23586.557914109959</v>
      </c>
      <c r="C92" s="14">
        <v>90000</v>
      </c>
    </row>
    <row r="93" spans="1:3" x14ac:dyDescent="0.5">
      <c r="A93" s="16">
        <v>43566</v>
      </c>
      <c r="B93" s="14">
        <v>22184.940252287081</v>
      </c>
      <c r="C93" s="14">
        <v>90000</v>
      </c>
    </row>
    <row r="94" spans="1:3" x14ac:dyDescent="0.5">
      <c r="A94" s="16">
        <v>43567</v>
      </c>
      <c r="B94" s="14">
        <v>21953.758876269698</v>
      </c>
      <c r="C94" s="14">
        <v>90000</v>
      </c>
    </row>
    <row r="95" spans="1:3" x14ac:dyDescent="0.5">
      <c r="A95" s="16">
        <v>43570</v>
      </c>
      <c r="B95" s="14">
        <v>21514.022786560046</v>
      </c>
      <c r="C95" s="14">
        <v>90000</v>
      </c>
    </row>
    <row r="96" spans="1:3" x14ac:dyDescent="0.5">
      <c r="A96" s="16">
        <v>43571</v>
      </c>
      <c r="B96" s="14">
        <v>23682.382164764</v>
      </c>
      <c r="C96" s="14">
        <v>90000</v>
      </c>
    </row>
    <row r="97" spans="1:3" x14ac:dyDescent="0.5">
      <c r="A97" s="16">
        <v>43572</v>
      </c>
      <c r="B97" s="14">
        <v>23540.539177143684</v>
      </c>
      <c r="C97" s="14">
        <v>90000</v>
      </c>
    </row>
    <row r="98" spans="1:3" x14ac:dyDescent="0.5">
      <c r="A98" s="16">
        <v>43573</v>
      </c>
      <c r="B98" s="14">
        <v>23506.793893806564</v>
      </c>
      <c r="C98" s="14">
        <v>90000</v>
      </c>
    </row>
    <row r="99" spans="1:3" x14ac:dyDescent="0.5">
      <c r="A99" s="16">
        <v>43574</v>
      </c>
      <c r="B99" s="14">
        <v>24405.777373141827</v>
      </c>
      <c r="C99" s="14">
        <v>90000</v>
      </c>
    </row>
    <row r="100" spans="1:3" x14ac:dyDescent="0.5">
      <c r="A100" s="16">
        <v>43577</v>
      </c>
      <c r="B100" s="14">
        <v>22609.39495224836</v>
      </c>
      <c r="C100" s="14">
        <v>90000</v>
      </c>
    </row>
    <row r="101" spans="1:3" x14ac:dyDescent="0.5">
      <c r="A101" s="16">
        <v>43578</v>
      </c>
      <c r="B101" s="14">
        <v>21968.825413438128</v>
      </c>
      <c r="C101" s="14">
        <v>90000</v>
      </c>
    </row>
    <row r="102" spans="1:3" x14ac:dyDescent="0.5">
      <c r="A102" s="16">
        <v>43579</v>
      </c>
      <c r="B102" s="14">
        <v>22236.813722056759</v>
      </c>
      <c r="C102" s="14">
        <v>90000</v>
      </c>
    </row>
    <row r="103" spans="1:3" x14ac:dyDescent="0.5">
      <c r="A103" s="16">
        <v>43580</v>
      </c>
      <c r="B103" s="14">
        <v>20275.988507790389</v>
      </c>
      <c r="C103" s="14">
        <v>90000</v>
      </c>
    </row>
    <row r="104" spans="1:3" x14ac:dyDescent="0.5">
      <c r="A104" s="16">
        <v>43581</v>
      </c>
      <c r="B104" s="14">
        <v>19381.208082050216</v>
      </c>
      <c r="C104" s="14">
        <v>90000</v>
      </c>
    </row>
    <row r="105" spans="1:3" x14ac:dyDescent="0.5">
      <c r="A105" s="16">
        <v>43584</v>
      </c>
      <c r="B105" s="14">
        <v>19168.168320751676</v>
      </c>
      <c r="C105" s="14">
        <v>90000</v>
      </c>
    </row>
    <row r="106" spans="1:3" x14ac:dyDescent="0.5">
      <c r="A106" s="16">
        <v>43585</v>
      </c>
      <c r="B106" s="14">
        <v>19346.334822668417</v>
      </c>
      <c r="C106" s="14">
        <v>90000</v>
      </c>
    </row>
    <row r="107" spans="1:3" x14ac:dyDescent="0.5">
      <c r="A107" s="16">
        <v>43591</v>
      </c>
      <c r="B107" s="14">
        <v>14728.938027139026</v>
      </c>
      <c r="C107" s="14">
        <v>90000</v>
      </c>
    </row>
    <row r="108" spans="1:3" x14ac:dyDescent="0.5">
      <c r="A108" s="16">
        <v>43592</v>
      </c>
      <c r="B108" s="14">
        <v>15409.913279264569</v>
      </c>
      <c r="C108" s="14">
        <v>90000</v>
      </c>
    </row>
    <row r="109" spans="1:3" x14ac:dyDescent="0.5">
      <c r="A109" s="16">
        <v>43593</v>
      </c>
      <c r="B109" s="14">
        <v>14659.336533866866</v>
      </c>
      <c r="C109" s="14">
        <v>90000</v>
      </c>
    </row>
    <row r="110" spans="1:3" x14ac:dyDescent="0.5">
      <c r="A110" s="16">
        <v>43594</v>
      </c>
      <c r="B110" s="14">
        <v>13809.836289349492</v>
      </c>
      <c r="C110" s="14">
        <v>90000</v>
      </c>
    </row>
    <row r="111" spans="1:3" x14ac:dyDescent="0.5">
      <c r="A111" s="16">
        <v>43595</v>
      </c>
      <c r="B111" s="14">
        <v>16251.998424116784</v>
      </c>
      <c r="C111" s="14">
        <v>90000</v>
      </c>
    </row>
    <row r="112" spans="1:3" x14ac:dyDescent="0.5">
      <c r="A112" s="16">
        <v>43598</v>
      </c>
      <c r="B112" s="14">
        <v>15046.715735501974</v>
      </c>
      <c r="C112" s="14">
        <v>90000</v>
      </c>
    </row>
    <row r="113" spans="1:3" x14ac:dyDescent="0.5">
      <c r="A113" s="16">
        <v>43599</v>
      </c>
      <c r="B113" s="14">
        <v>14576.363153150611</v>
      </c>
      <c r="C113" s="14">
        <v>90000</v>
      </c>
    </row>
    <row r="114" spans="1:3" x14ac:dyDescent="0.5">
      <c r="A114" s="16">
        <v>43600</v>
      </c>
      <c r="B114" s="14">
        <v>15906.11262698294</v>
      </c>
      <c r="C114" s="14">
        <v>90000</v>
      </c>
    </row>
    <row r="115" spans="1:3" x14ac:dyDescent="0.5">
      <c r="A115" s="16">
        <v>43601</v>
      </c>
      <c r="B115" s="14">
        <v>16498.796897038657</v>
      </c>
      <c r="C115" s="14">
        <v>90000</v>
      </c>
    </row>
    <row r="116" spans="1:3" x14ac:dyDescent="0.5">
      <c r="A116" s="16">
        <v>43602</v>
      </c>
      <c r="B116" s="14">
        <v>14592.665092653711</v>
      </c>
      <c r="C116" s="14">
        <v>90000</v>
      </c>
    </row>
    <row r="117" spans="1:3" x14ac:dyDescent="0.5">
      <c r="A117" s="16">
        <v>43605</v>
      </c>
      <c r="B117" s="14">
        <v>14583.399575143703</v>
      </c>
      <c r="C117" s="14">
        <v>90000</v>
      </c>
    </row>
    <row r="118" spans="1:3" x14ac:dyDescent="0.5">
      <c r="A118" s="16">
        <v>43606</v>
      </c>
      <c r="B118" s="14">
        <v>15495.99933673277</v>
      </c>
      <c r="C118" s="14">
        <v>90000</v>
      </c>
    </row>
    <row r="119" spans="1:3" x14ac:dyDescent="0.5">
      <c r="A119" s="16">
        <v>43607</v>
      </c>
      <c r="B119" s="14">
        <v>15234.765456096036</v>
      </c>
      <c r="C119" s="14">
        <v>90000</v>
      </c>
    </row>
    <row r="120" spans="1:3" x14ac:dyDescent="0.5">
      <c r="A120" s="16">
        <v>43608</v>
      </c>
      <c r="B120" s="14">
        <v>14136.533065437237</v>
      </c>
      <c r="C120" s="14">
        <v>90000</v>
      </c>
    </row>
    <row r="121" spans="1:3" x14ac:dyDescent="0.5">
      <c r="A121" s="16">
        <v>43609</v>
      </c>
      <c r="B121" s="14">
        <v>13531.978190339723</v>
      </c>
      <c r="C121" s="14">
        <v>90000</v>
      </c>
    </row>
    <row r="122" spans="1:3" x14ac:dyDescent="0.5">
      <c r="A122" s="16">
        <v>43612</v>
      </c>
      <c r="B122" s="14">
        <v>15027.003011292298</v>
      </c>
      <c r="C122" s="14">
        <v>90000</v>
      </c>
    </row>
    <row r="123" spans="1:3" x14ac:dyDescent="0.5">
      <c r="A123" s="16">
        <v>43613</v>
      </c>
      <c r="B123" s="14">
        <v>15117.8856526077</v>
      </c>
      <c r="C123" s="14">
        <v>90000</v>
      </c>
    </row>
    <row r="124" spans="1:3" x14ac:dyDescent="0.5">
      <c r="A124" s="16">
        <v>43614</v>
      </c>
      <c r="B124" s="14">
        <v>15196.951402026287</v>
      </c>
      <c r="C124" s="14">
        <v>90000</v>
      </c>
    </row>
    <row r="125" spans="1:3" x14ac:dyDescent="0.5">
      <c r="A125" s="16">
        <v>43615</v>
      </c>
      <c r="B125" s="14">
        <v>14946.701859539055</v>
      </c>
      <c r="C125" s="14">
        <v>90000</v>
      </c>
    </row>
    <row r="126" spans="1:3" x14ac:dyDescent="0.5">
      <c r="A126" s="16">
        <v>43616</v>
      </c>
      <c r="B126" s="14">
        <v>14688.637054456442</v>
      </c>
      <c r="C126" s="14">
        <v>90000</v>
      </c>
    </row>
    <row r="127" spans="1:3" x14ac:dyDescent="0.5">
      <c r="A127" s="16">
        <v>43619</v>
      </c>
      <c r="B127" s="14">
        <v>14486.501061589952</v>
      </c>
      <c r="C127" s="14">
        <v>90000</v>
      </c>
    </row>
    <row r="128" spans="1:3" x14ac:dyDescent="0.5">
      <c r="A128" s="16">
        <v>43620</v>
      </c>
      <c r="B128" s="14">
        <v>13539.927735797566</v>
      </c>
      <c r="C128" s="14">
        <v>90000</v>
      </c>
    </row>
    <row r="129" spans="1:3" x14ac:dyDescent="0.5">
      <c r="A129" s="16">
        <v>43621</v>
      </c>
      <c r="B129" s="14">
        <v>13367.803962691702</v>
      </c>
      <c r="C129" s="14">
        <v>90000</v>
      </c>
    </row>
    <row r="130" spans="1:3" x14ac:dyDescent="0.5">
      <c r="A130" s="16">
        <v>43622</v>
      </c>
      <c r="B130" s="14">
        <v>12407.466643496795</v>
      </c>
      <c r="C130" s="14">
        <v>90000</v>
      </c>
    </row>
    <row r="131" spans="1:3" x14ac:dyDescent="0.5">
      <c r="A131" s="16">
        <v>43626</v>
      </c>
      <c r="B131" s="14">
        <v>13289.530482161659</v>
      </c>
      <c r="C131" s="14">
        <v>90000</v>
      </c>
    </row>
    <row r="132" spans="1:3" x14ac:dyDescent="0.5">
      <c r="A132" s="16">
        <v>43627</v>
      </c>
      <c r="B132" s="14">
        <v>15560.669963295251</v>
      </c>
      <c r="C132" s="14">
        <v>90000</v>
      </c>
    </row>
    <row r="133" spans="1:3" x14ac:dyDescent="0.5">
      <c r="A133" s="16">
        <v>43628</v>
      </c>
      <c r="B133" s="14">
        <v>15586.391845600185</v>
      </c>
      <c r="C133" s="14">
        <v>90000</v>
      </c>
    </row>
    <row r="134" spans="1:3" x14ac:dyDescent="0.5">
      <c r="A134" s="16">
        <v>43629</v>
      </c>
      <c r="B134" s="14">
        <v>15305.015535593906</v>
      </c>
      <c r="C134" s="14">
        <v>90000</v>
      </c>
    </row>
    <row r="135" spans="1:3" x14ac:dyDescent="0.5">
      <c r="A135" s="16">
        <v>43630</v>
      </c>
      <c r="B135" s="14">
        <v>14144.20733102705</v>
      </c>
      <c r="C135" s="14">
        <v>90000</v>
      </c>
    </row>
    <row r="136" spans="1:3" x14ac:dyDescent="0.5">
      <c r="A136" s="16">
        <v>43633</v>
      </c>
      <c r="B136" s="14">
        <v>13704.335615626303</v>
      </c>
      <c r="C136" s="14">
        <v>90000</v>
      </c>
    </row>
    <row r="137" spans="1:3" x14ac:dyDescent="0.5">
      <c r="A137" s="16">
        <v>43634</v>
      </c>
      <c r="B137" s="14">
        <v>13321.385482567537</v>
      </c>
      <c r="C137" s="14">
        <v>90000</v>
      </c>
    </row>
    <row r="138" spans="1:3" x14ac:dyDescent="0.5">
      <c r="A138" s="16">
        <v>43635</v>
      </c>
      <c r="B138" s="14">
        <v>15377.997271318833</v>
      </c>
      <c r="C138" s="14">
        <v>90000</v>
      </c>
    </row>
    <row r="139" spans="1:3" x14ac:dyDescent="0.5">
      <c r="A139" s="16">
        <v>43636</v>
      </c>
      <c r="B139" s="14">
        <v>17468.988286927022</v>
      </c>
      <c r="C139" s="14">
        <v>90000</v>
      </c>
    </row>
    <row r="140" spans="1:3" x14ac:dyDescent="0.5">
      <c r="A140" s="16">
        <v>43637</v>
      </c>
      <c r="B140" s="14">
        <v>18523.374457537037</v>
      </c>
      <c r="C140" s="14">
        <v>90000</v>
      </c>
    </row>
    <row r="141" spans="1:3" x14ac:dyDescent="0.5">
      <c r="A141" s="16">
        <v>43640</v>
      </c>
      <c r="B141" s="14">
        <v>18461.641649747369</v>
      </c>
      <c r="C141" s="14">
        <v>90000</v>
      </c>
    </row>
    <row r="142" spans="1:3" x14ac:dyDescent="0.5">
      <c r="A142" s="16">
        <v>43641</v>
      </c>
      <c r="B142" s="14">
        <v>17388.320689269312</v>
      </c>
      <c r="C142" s="14">
        <v>90000</v>
      </c>
    </row>
    <row r="143" spans="1:3" x14ac:dyDescent="0.5">
      <c r="A143" s="16">
        <v>43642</v>
      </c>
      <c r="B143" s="14">
        <v>17957.6826301744</v>
      </c>
      <c r="C143" s="14">
        <v>90000</v>
      </c>
    </row>
    <row r="144" spans="1:3" x14ac:dyDescent="0.5">
      <c r="A144" s="16">
        <v>43643</v>
      </c>
      <c r="B144" s="14">
        <v>19204.832152067494</v>
      </c>
      <c r="C144" s="14">
        <v>90000</v>
      </c>
    </row>
    <row r="145" spans="1:3" x14ac:dyDescent="0.5">
      <c r="A145" s="16">
        <v>43644</v>
      </c>
      <c r="B145" s="14">
        <v>18282.090707217139</v>
      </c>
      <c r="C145" s="14">
        <v>90000</v>
      </c>
    </row>
    <row r="146" spans="1:3" x14ac:dyDescent="0.5">
      <c r="A146" s="16">
        <v>43647</v>
      </c>
      <c r="B146" s="14">
        <v>21238.464536026411</v>
      </c>
      <c r="C146" s="14">
        <v>90000</v>
      </c>
    </row>
    <row r="147" spans="1:3" x14ac:dyDescent="0.5">
      <c r="A147" s="16">
        <v>43648</v>
      </c>
      <c r="B147" s="14">
        <v>21073.129665952511</v>
      </c>
      <c r="C147" s="14">
        <v>90000</v>
      </c>
    </row>
    <row r="148" spans="1:3" x14ac:dyDescent="0.5">
      <c r="A148" s="16">
        <v>43649</v>
      </c>
      <c r="B148" s="14">
        <v>20714.057741002631</v>
      </c>
      <c r="C148" s="14">
        <v>90000</v>
      </c>
    </row>
    <row r="149" spans="1:3" x14ac:dyDescent="0.5">
      <c r="A149" s="16">
        <v>43650</v>
      </c>
      <c r="B149" s="14">
        <v>20559.838071943013</v>
      </c>
      <c r="C149" s="14">
        <v>90000</v>
      </c>
    </row>
    <row r="150" spans="1:3" x14ac:dyDescent="0.5">
      <c r="A150" s="16">
        <v>43651</v>
      </c>
      <c r="B150" s="14">
        <v>20890.822393251641</v>
      </c>
      <c r="C150" s="14">
        <v>90000</v>
      </c>
    </row>
    <row r="151" spans="1:3" x14ac:dyDescent="0.5">
      <c r="A151" s="16">
        <v>43654</v>
      </c>
      <c r="B151" s="14">
        <v>17563.632276156626</v>
      </c>
      <c r="C151" s="14">
        <v>90000</v>
      </c>
    </row>
    <row r="152" spans="1:3" x14ac:dyDescent="0.5">
      <c r="A152" s="16">
        <v>43655</v>
      </c>
      <c r="B152" s="14">
        <v>17706.227422322569</v>
      </c>
      <c r="C152" s="14">
        <v>90000</v>
      </c>
    </row>
    <row r="153" spans="1:3" x14ac:dyDescent="0.5">
      <c r="A153" s="16">
        <v>43656</v>
      </c>
      <c r="B153" s="14">
        <v>17831.835185806282</v>
      </c>
      <c r="C153" s="14">
        <v>90000</v>
      </c>
    </row>
    <row r="154" spans="1:3" x14ac:dyDescent="0.5">
      <c r="A154" s="16">
        <v>43657</v>
      </c>
      <c r="B154" s="14">
        <v>17583.750490391394</v>
      </c>
      <c r="C154" s="14">
        <v>90000</v>
      </c>
    </row>
    <row r="155" spans="1:3" x14ac:dyDescent="0.5">
      <c r="A155" s="16">
        <v>43658</v>
      </c>
      <c r="B155" s="14">
        <v>17964.438635103608</v>
      </c>
      <c r="C155" s="14">
        <v>90000</v>
      </c>
    </row>
    <row r="156" spans="1:3" x14ac:dyDescent="0.5">
      <c r="A156" s="16">
        <v>43661</v>
      </c>
      <c r="B156" s="14">
        <v>19480.989471068388</v>
      </c>
      <c r="C156" s="14">
        <v>90000</v>
      </c>
    </row>
    <row r="157" spans="1:3" x14ac:dyDescent="0.5">
      <c r="A157" s="16">
        <v>43662</v>
      </c>
      <c r="B157" s="14">
        <v>19518.005187653747</v>
      </c>
      <c r="C157" s="14">
        <v>90000</v>
      </c>
    </row>
    <row r="158" spans="1:3" x14ac:dyDescent="0.5">
      <c r="A158" s="16">
        <v>43663</v>
      </c>
      <c r="B158" s="14">
        <v>20131.935789014009</v>
      </c>
      <c r="C158" s="14">
        <v>90000</v>
      </c>
    </row>
    <row r="159" spans="1:3" x14ac:dyDescent="0.5">
      <c r="A159" s="16">
        <v>43664</v>
      </c>
      <c r="B159" s="14">
        <v>18367.053846493101</v>
      </c>
      <c r="C159" s="14">
        <v>90000</v>
      </c>
    </row>
    <row r="160" spans="1:3" x14ac:dyDescent="0.5">
      <c r="A160" s="16">
        <v>43665</v>
      </c>
      <c r="B160" s="14">
        <v>19106.927584272096</v>
      </c>
      <c r="C160" s="14">
        <v>90000</v>
      </c>
    </row>
    <row r="161" spans="1:3" x14ac:dyDescent="0.5">
      <c r="A161" s="16">
        <v>43668</v>
      </c>
      <c r="B161" s="14">
        <v>17258.743310843012</v>
      </c>
      <c r="C161" s="14">
        <v>90000</v>
      </c>
    </row>
    <row r="162" spans="1:3" x14ac:dyDescent="0.5">
      <c r="A162" s="16">
        <v>43669</v>
      </c>
      <c r="B162" s="14">
        <v>19326.857351322833</v>
      </c>
      <c r="C162" s="14">
        <v>90000</v>
      </c>
    </row>
    <row r="163" spans="1:3" x14ac:dyDescent="0.5">
      <c r="A163" s="16">
        <v>43670</v>
      </c>
      <c r="B163" s="14">
        <v>21302.329909070308</v>
      </c>
      <c r="C163" s="14">
        <v>90000</v>
      </c>
    </row>
    <row r="164" spans="1:3" x14ac:dyDescent="0.5">
      <c r="A164" s="16">
        <v>43671</v>
      </c>
      <c r="B164" s="14">
        <v>22463.409071996284</v>
      </c>
      <c r="C164" s="14">
        <v>90000</v>
      </c>
    </row>
    <row r="165" spans="1:3" x14ac:dyDescent="0.5">
      <c r="A165" s="16">
        <v>43672</v>
      </c>
      <c r="B165" s="14">
        <v>22956.787268882792</v>
      </c>
      <c r="C165" s="14">
        <v>90000</v>
      </c>
    </row>
    <row r="166" spans="1:3" x14ac:dyDescent="0.5">
      <c r="A166" s="16">
        <v>43675</v>
      </c>
      <c r="B166" s="14">
        <v>23563.614385208333</v>
      </c>
      <c r="C166" s="14">
        <v>90000</v>
      </c>
    </row>
    <row r="167" spans="1:3" x14ac:dyDescent="0.5">
      <c r="A167" s="16">
        <v>43676</v>
      </c>
      <c r="B167" s="14">
        <v>23154.312749433069</v>
      </c>
      <c r="C167" s="14">
        <v>90000</v>
      </c>
    </row>
    <row r="168" spans="1:3" x14ac:dyDescent="0.5">
      <c r="A168" s="16">
        <v>43677</v>
      </c>
      <c r="B168" s="14">
        <v>23478.884567363246</v>
      </c>
      <c r="C168" s="14">
        <v>90000</v>
      </c>
    </row>
    <row r="169" spans="1:3" x14ac:dyDescent="0.5">
      <c r="A169" s="16">
        <v>43678</v>
      </c>
      <c r="B169" s="14">
        <v>22539.428800057154</v>
      </c>
      <c r="C169" s="14">
        <v>90000</v>
      </c>
    </row>
    <row r="170" spans="1:3" x14ac:dyDescent="0.5">
      <c r="A170" s="16">
        <v>43679</v>
      </c>
      <c r="B170" s="14">
        <v>20939.361112008177</v>
      </c>
      <c r="C170" s="14">
        <v>90000</v>
      </c>
    </row>
    <row r="171" spans="1:3" x14ac:dyDescent="0.5">
      <c r="A171" s="16">
        <v>43682</v>
      </c>
      <c r="B171" s="14">
        <v>20080.255922961165</v>
      </c>
      <c r="C171" s="14">
        <v>90000</v>
      </c>
    </row>
    <row r="172" spans="1:3" x14ac:dyDescent="0.5">
      <c r="A172" s="16">
        <v>43683</v>
      </c>
      <c r="B172" s="14">
        <v>17564.370683492612</v>
      </c>
      <c r="C172" s="14">
        <v>90000</v>
      </c>
    </row>
    <row r="173" spans="1:3" x14ac:dyDescent="0.5">
      <c r="A173" s="16">
        <v>43684</v>
      </c>
      <c r="B173" s="14">
        <v>15820.030036046068</v>
      </c>
      <c r="C173" s="14">
        <v>90000</v>
      </c>
    </row>
    <row r="174" spans="1:3" x14ac:dyDescent="0.5">
      <c r="A174" s="16">
        <v>43685</v>
      </c>
      <c r="B174" s="14">
        <v>18278.598045795938</v>
      </c>
      <c r="C174" s="14">
        <v>90000</v>
      </c>
    </row>
    <row r="175" spans="1:3" x14ac:dyDescent="0.5">
      <c r="A175" s="16">
        <v>43686</v>
      </c>
      <c r="B175" s="14">
        <v>16584.751724403832</v>
      </c>
      <c r="C175" s="14">
        <v>90000</v>
      </c>
    </row>
    <row r="176" spans="1:3" x14ac:dyDescent="0.5">
      <c r="A176" s="16">
        <v>43689</v>
      </c>
      <c r="B176" s="14">
        <v>19373.722473300542</v>
      </c>
      <c r="C176" s="14">
        <v>90000</v>
      </c>
    </row>
    <row r="177" spans="1:3" x14ac:dyDescent="0.5">
      <c r="A177" s="16">
        <v>43690</v>
      </c>
      <c r="B177" s="14">
        <v>18652.6722073329</v>
      </c>
      <c r="C177" s="14">
        <v>90000</v>
      </c>
    </row>
    <row r="178" spans="1:3" x14ac:dyDescent="0.5">
      <c r="A178" s="16">
        <v>43691</v>
      </c>
      <c r="B178" s="14">
        <v>19517.559928208837</v>
      </c>
      <c r="C178" s="14">
        <v>90000</v>
      </c>
    </row>
    <row r="179" spans="1:3" x14ac:dyDescent="0.5">
      <c r="A179" s="16">
        <v>43692</v>
      </c>
      <c r="B179" s="14">
        <v>20334.517960577912</v>
      </c>
      <c r="C179" s="14">
        <v>90000</v>
      </c>
    </row>
    <row r="180" spans="1:3" x14ac:dyDescent="0.5">
      <c r="A180" s="16">
        <v>43693</v>
      </c>
      <c r="B180" s="14">
        <v>20700.511094370653</v>
      </c>
      <c r="C180" s="14">
        <v>90000</v>
      </c>
    </row>
    <row r="181" spans="1:3" x14ac:dyDescent="0.5">
      <c r="A181" s="16">
        <v>43696</v>
      </c>
      <c r="B181" s="14">
        <v>24828.464590035379</v>
      </c>
      <c r="C181" s="14">
        <v>90000</v>
      </c>
    </row>
    <row r="182" spans="1:3" x14ac:dyDescent="0.5">
      <c r="A182" s="16">
        <v>43697</v>
      </c>
      <c r="B182" s="14">
        <v>24752.686808912942</v>
      </c>
      <c r="C182" s="14">
        <v>90000</v>
      </c>
    </row>
    <row r="183" spans="1:3" x14ac:dyDescent="0.5">
      <c r="A183" s="16">
        <v>43698</v>
      </c>
      <c r="B183" s="14">
        <v>25111.324755776834</v>
      </c>
      <c r="C183" s="14">
        <v>90000</v>
      </c>
    </row>
    <row r="184" spans="1:3" x14ac:dyDescent="0.5">
      <c r="A184" s="16">
        <v>43699</v>
      </c>
      <c r="B184" s="14">
        <v>25684.190963893285</v>
      </c>
      <c r="C184" s="14">
        <v>90000</v>
      </c>
    </row>
    <row r="185" spans="1:3" x14ac:dyDescent="0.5">
      <c r="A185" s="16">
        <v>43700</v>
      </c>
      <c r="B185" s="14">
        <v>25029.929903782104</v>
      </c>
      <c r="C185" s="14">
        <v>90000</v>
      </c>
    </row>
    <row r="186" spans="1:3" x14ac:dyDescent="0.5">
      <c r="A186" s="16">
        <v>43703</v>
      </c>
      <c r="B186" s="14">
        <v>24725.530565598339</v>
      </c>
      <c r="C186" s="14">
        <v>90000</v>
      </c>
    </row>
    <row r="187" spans="1:3" x14ac:dyDescent="0.5">
      <c r="A187" s="16">
        <v>43704</v>
      </c>
      <c r="B187" s="14">
        <v>26859.07108418578</v>
      </c>
      <c r="C187" s="14">
        <v>90000</v>
      </c>
    </row>
    <row r="188" spans="1:3" x14ac:dyDescent="0.5">
      <c r="A188" s="16">
        <v>43705</v>
      </c>
      <c r="B188" s="14">
        <v>26713.020107642427</v>
      </c>
      <c r="C188" s="14">
        <v>90000</v>
      </c>
    </row>
    <row r="189" spans="1:3" x14ac:dyDescent="0.5">
      <c r="A189" s="16">
        <v>43706</v>
      </c>
      <c r="B189" s="14">
        <v>27283.95285162986</v>
      </c>
      <c r="C189" s="14">
        <v>90000</v>
      </c>
    </row>
    <row r="190" spans="1:3" x14ac:dyDescent="0.5">
      <c r="A190" s="16">
        <v>43707</v>
      </c>
      <c r="B190" s="14">
        <v>28014.321151956741</v>
      </c>
      <c r="C190" s="14">
        <v>90000</v>
      </c>
    </row>
    <row r="191" spans="1:3" x14ac:dyDescent="0.5">
      <c r="A191" s="16">
        <v>43710</v>
      </c>
      <c r="B191" s="14">
        <v>31265.386412868334</v>
      </c>
      <c r="C191" s="14">
        <v>90000</v>
      </c>
    </row>
    <row r="192" spans="1:3" x14ac:dyDescent="0.5">
      <c r="A192" s="16">
        <v>43711</v>
      </c>
      <c r="B192" s="14">
        <v>32079.113285842366</v>
      </c>
      <c r="C192" s="14">
        <v>90000</v>
      </c>
    </row>
    <row r="193" spans="1:3" x14ac:dyDescent="0.5">
      <c r="A193" s="16">
        <v>43712</v>
      </c>
      <c r="B193" s="14">
        <v>32927.141651776721</v>
      </c>
      <c r="C193" s="14">
        <v>90000</v>
      </c>
    </row>
    <row r="194" spans="1:3" x14ac:dyDescent="0.5">
      <c r="A194" s="16">
        <v>43713</v>
      </c>
      <c r="B194" s="14">
        <v>33635.107971508929</v>
      </c>
      <c r="C194" s="14">
        <v>90000</v>
      </c>
    </row>
    <row r="195" spans="1:3" x14ac:dyDescent="0.5">
      <c r="A195" s="16">
        <v>43714</v>
      </c>
      <c r="B195" s="14">
        <v>33987.469488143586</v>
      </c>
      <c r="C195" s="14">
        <v>90000</v>
      </c>
    </row>
    <row r="196" spans="1:3" x14ac:dyDescent="0.5">
      <c r="A196" s="16">
        <v>43717</v>
      </c>
      <c r="B196" s="14">
        <v>35379.444279390911</v>
      </c>
      <c r="C196" s="14">
        <v>90000</v>
      </c>
    </row>
    <row r="197" spans="1:3" x14ac:dyDescent="0.5">
      <c r="A197" s="16">
        <v>43718</v>
      </c>
      <c r="B197" s="14">
        <v>34734.324678742574</v>
      </c>
      <c r="C197" s="14">
        <v>90000</v>
      </c>
    </row>
    <row r="198" spans="1:3" x14ac:dyDescent="0.5">
      <c r="A198" s="16">
        <v>43719</v>
      </c>
      <c r="B198" s="14">
        <v>34246.57887102144</v>
      </c>
      <c r="C198" s="14">
        <v>90000</v>
      </c>
    </row>
    <row r="199" spans="1:3" x14ac:dyDescent="0.5">
      <c r="A199" s="16">
        <v>43720</v>
      </c>
      <c r="B199" s="14">
        <v>34348.412718921158</v>
      </c>
      <c r="C199" s="14">
        <v>90000</v>
      </c>
    </row>
    <row r="200" spans="1:3" x14ac:dyDescent="0.5">
      <c r="A200" s="16">
        <v>43724</v>
      </c>
      <c r="B200" s="14">
        <v>34317.312153943887</v>
      </c>
      <c r="C200" s="14">
        <v>90000</v>
      </c>
    </row>
    <row r="201" spans="1:3" x14ac:dyDescent="0.5">
      <c r="A201" s="16">
        <v>43725</v>
      </c>
      <c r="B201" s="14">
        <v>33833.502807185389</v>
      </c>
      <c r="C201" s="14">
        <v>90000</v>
      </c>
    </row>
    <row r="202" spans="1:3" x14ac:dyDescent="0.5">
      <c r="A202" s="16">
        <v>43726</v>
      </c>
      <c r="B202" s="14">
        <v>33796.425003807322</v>
      </c>
      <c r="C202" s="14">
        <v>90000</v>
      </c>
    </row>
    <row r="203" spans="1:3" x14ac:dyDescent="0.5">
      <c r="A203" s="16">
        <v>43727</v>
      </c>
      <c r="B203" s="14">
        <v>34156.324148277054</v>
      </c>
      <c r="C203" s="14">
        <v>90000</v>
      </c>
    </row>
    <row r="204" spans="1:3" x14ac:dyDescent="0.5">
      <c r="A204" s="16">
        <v>43728</v>
      </c>
      <c r="B204" s="14">
        <v>34451.399432591599</v>
      </c>
      <c r="C204" s="14">
        <v>90000</v>
      </c>
    </row>
    <row r="205" spans="1:3" x14ac:dyDescent="0.5">
      <c r="A205" s="16">
        <v>43731</v>
      </c>
      <c r="B205" s="14">
        <v>34864.790917979131</v>
      </c>
      <c r="C205" s="14">
        <v>90000</v>
      </c>
    </row>
    <row r="206" spans="1:3" x14ac:dyDescent="0.5">
      <c r="A206" s="16">
        <v>43732</v>
      </c>
      <c r="B206" s="14">
        <v>34870.768156379927</v>
      </c>
      <c r="C206" s="14">
        <v>90000</v>
      </c>
    </row>
    <row r="207" spans="1:3" x14ac:dyDescent="0.5">
      <c r="A207" s="16">
        <v>43733</v>
      </c>
      <c r="B207" s="14">
        <v>33849.054666781783</v>
      </c>
      <c r="C207" s="14">
        <v>90000</v>
      </c>
    </row>
    <row r="208" spans="1:3" x14ac:dyDescent="0.5">
      <c r="A208" s="16">
        <v>43734</v>
      </c>
      <c r="B208" s="14">
        <v>32907.182257405453</v>
      </c>
      <c r="C208" s="14">
        <v>90000</v>
      </c>
    </row>
    <row r="209" spans="1:3" x14ac:dyDescent="0.5">
      <c r="A209" s="16">
        <v>43735</v>
      </c>
      <c r="B209" s="14">
        <v>32917.827734768362</v>
      </c>
      <c r="C209" s="14">
        <v>90000</v>
      </c>
    </row>
    <row r="210" spans="1:3" x14ac:dyDescent="0.5">
      <c r="A210" s="16">
        <v>43738</v>
      </c>
      <c r="B210" s="14">
        <v>32862.234686317621</v>
      </c>
      <c r="C210" s="14">
        <v>90000</v>
      </c>
    </row>
    <row r="211" spans="1:3" x14ac:dyDescent="0.5">
      <c r="A211" s="16">
        <v>43746</v>
      </c>
      <c r="B211" s="14">
        <v>32891.805456770133</v>
      </c>
      <c r="C211" s="14">
        <v>90000</v>
      </c>
    </row>
    <row r="212" spans="1:3" x14ac:dyDescent="0.5">
      <c r="A212" s="16">
        <v>43747</v>
      </c>
      <c r="B212" s="14">
        <v>32904.816595769269</v>
      </c>
      <c r="C212" s="14">
        <v>90000</v>
      </c>
    </row>
    <row r="213" spans="1:3" x14ac:dyDescent="0.5">
      <c r="A213" s="16">
        <v>43748</v>
      </c>
      <c r="B213" s="14">
        <v>32937.935858676094</v>
      </c>
      <c r="C213" s="14">
        <v>90000</v>
      </c>
    </row>
    <row r="214" spans="1:3" x14ac:dyDescent="0.5">
      <c r="A214" s="16">
        <v>43749</v>
      </c>
      <c r="B214" s="14">
        <v>32994.711737944934</v>
      </c>
      <c r="C214" s="14">
        <v>90000</v>
      </c>
    </row>
    <row r="215" spans="1:3" x14ac:dyDescent="0.5">
      <c r="A215" s="16">
        <v>43752</v>
      </c>
      <c r="B215" s="14">
        <v>32865.664895690119</v>
      </c>
      <c r="C215" s="14">
        <v>90000</v>
      </c>
    </row>
    <row r="216" spans="1:3" x14ac:dyDescent="0.5">
      <c r="A216" s="16">
        <v>43753</v>
      </c>
      <c r="B216" s="14">
        <v>32701.465703874492</v>
      </c>
      <c r="C216" s="14">
        <v>90000</v>
      </c>
    </row>
    <row r="217" spans="1:3" x14ac:dyDescent="0.5">
      <c r="A217" s="16">
        <v>43754</v>
      </c>
      <c r="B217" s="14">
        <v>32693.674610541624</v>
      </c>
      <c r="C217" s="14">
        <v>90000</v>
      </c>
    </row>
    <row r="218" spans="1:3" x14ac:dyDescent="0.5">
      <c r="A218" s="16">
        <v>43755</v>
      </c>
      <c r="B218" s="14">
        <v>32657.011599811463</v>
      </c>
      <c r="C218" s="14">
        <v>90000</v>
      </c>
    </row>
    <row r="219" spans="1:3" x14ac:dyDescent="0.5">
      <c r="A219" s="16">
        <v>43756</v>
      </c>
      <c r="B219" s="14">
        <v>32256.238916757342</v>
      </c>
      <c r="C219" s="14">
        <v>90000</v>
      </c>
    </row>
    <row r="220" spans="1:3" x14ac:dyDescent="0.5">
      <c r="A220" s="16">
        <v>43759</v>
      </c>
      <c r="B220" s="14">
        <v>31779.92555868061</v>
      </c>
      <c r="C220" s="14">
        <v>90000</v>
      </c>
    </row>
    <row r="221" spans="1:3" x14ac:dyDescent="0.5">
      <c r="A221" s="16">
        <v>43760</v>
      </c>
      <c r="B221" s="14">
        <v>32393.75008566078</v>
      </c>
      <c r="C221" s="14">
        <v>90000</v>
      </c>
    </row>
    <row r="222" spans="1:3" x14ac:dyDescent="0.5">
      <c r="A222" s="16">
        <v>43761</v>
      </c>
      <c r="B222" s="14">
        <v>31684.934290688121</v>
      </c>
      <c r="C222" s="14">
        <v>90000</v>
      </c>
    </row>
    <row r="223" spans="1:3" x14ac:dyDescent="0.5">
      <c r="A223" s="16">
        <v>43762</v>
      </c>
      <c r="B223" s="14">
        <v>31611.041940334879</v>
      </c>
      <c r="C223" s="14">
        <v>90000</v>
      </c>
    </row>
    <row r="224" spans="1:3" x14ac:dyDescent="0.5">
      <c r="A224" s="16">
        <v>43763</v>
      </c>
      <c r="B224" s="14">
        <v>32094.140388982501</v>
      </c>
      <c r="C224" s="14">
        <v>90000</v>
      </c>
    </row>
    <row r="225" spans="1:3" x14ac:dyDescent="0.5">
      <c r="A225" s="16">
        <v>43766</v>
      </c>
      <c r="B225" s="14">
        <v>33082.956064204875</v>
      </c>
      <c r="C225" s="14">
        <v>90000</v>
      </c>
    </row>
    <row r="226" spans="1:3" x14ac:dyDescent="0.5">
      <c r="A226" s="16">
        <v>43767</v>
      </c>
      <c r="B226" s="14">
        <v>32120.830221252152</v>
      </c>
      <c r="C226" s="14">
        <v>90000</v>
      </c>
    </row>
    <row r="227" spans="1:3" x14ac:dyDescent="0.5">
      <c r="A227" s="16">
        <v>43768</v>
      </c>
      <c r="B227" s="14">
        <v>31793.782465853612</v>
      </c>
      <c r="C227" s="14">
        <v>90000</v>
      </c>
    </row>
    <row r="228" spans="1:3" x14ac:dyDescent="0.5">
      <c r="A228" s="16">
        <v>43769</v>
      </c>
      <c r="B228" s="14">
        <v>32224.10845979907</v>
      </c>
      <c r="C228" s="14">
        <v>90000</v>
      </c>
    </row>
    <row r="229" spans="1:3" x14ac:dyDescent="0.5">
      <c r="A229" s="16">
        <v>43770</v>
      </c>
      <c r="B229" s="14">
        <v>33087.629287649601</v>
      </c>
      <c r="C229" s="14">
        <v>90000</v>
      </c>
    </row>
    <row r="230" spans="1:3" x14ac:dyDescent="0.5">
      <c r="A230" s="16">
        <v>43773</v>
      </c>
      <c r="B230" s="14">
        <v>33846.78197710072</v>
      </c>
      <c r="C230" s="14">
        <v>90000</v>
      </c>
    </row>
    <row r="231" spans="1:3" x14ac:dyDescent="0.5">
      <c r="A231" s="16">
        <v>43774</v>
      </c>
      <c r="B231" s="14">
        <v>34318.778740758382</v>
      </c>
      <c r="C231" s="14">
        <v>90000</v>
      </c>
    </row>
    <row r="232" spans="1:3" x14ac:dyDescent="0.5">
      <c r="A232" s="16">
        <v>43775</v>
      </c>
      <c r="B232" s="14">
        <v>33409.73234224203</v>
      </c>
      <c r="C232" s="14">
        <v>90000</v>
      </c>
    </row>
    <row r="233" spans="1:3" x14ac:dyDescent="0.5">
      <c r="A233" s="16">
        <v>43776</v>
      </c>
      <c r="B233" s="14">
        <v>33917.939383932258</v>
      </c>
      <c r="C233" s="14">
        <v>90000</v>
      </c>
    </row>
    <row r="234" spans="1:3" x14ac:dyDescent="0.5">
      <c r="A234" s="16">
        <v>43777</v>
      </c>
      <c r="B234" s="14">
        <v>33512.047430171369</v>
      </c>
      <c r="C234" s="14">
        <v>90000</v>
      </c>
    </row>
    <row r="235" spans="1:3" x14ac:dyDescent="0.5">
      <c r="A235" s="16">
        <v>43780</v>
      </c>
      <c r="B235" s="14">
        <v>31893.11116231799</v>
      </c>
      <c r="C235" s="14">
        <v>90000</v>
      </c>
    </row>
    <row r="236" spans="1:3" x14ac:dyDescent="0.5">
      <c r="A236" s="16">
        <v>43781</v>
      </c>
      <c r="B236" s="14">
        <v>31957.531773236493</v>
      </c>
      <c r="C236" s="14">
        <v>90000</v>
      </c>
    </row>
    <row r="237" spans="1:3" x14ac:dyDescent="0.5">
      <c r="A237" s="16">
        <v>43782</v>
      </c>
      <c r="B237" s="14">
        <v>32827.841595252845</v>
      </c>
      <c r="C237" s="14">
        <v>90000</v>
      </c>
    </row>
    <row r="238" spans="1:3" x14ac:dyDescent="0.5">
      <c r="A238" s="16">
        <v>43783</v>
      </c>
      <c r="B238" s="14">
        <v>33723.043878167911</v>
      </c>
      <c r="C238" s="14">
        <v>90000</v>
      </c>
    </row>
    <row r="239" spans="1:3" x14ac:dyDescent="0.5">
      <c r="A239" s="16">
        <v>43784</v>
      </c>
      <c r="B239" s="14">
        <v>33374.835739412447</v>
      </c>
      <c r="C239" s="14">
        <v>90000</v>
      </c>
    </row>
    <row r="240" spans="1:3" x14ac:dyDescent="0.5">
      <c r="A240" s="16">
        <v>43787</v>
      </c>
      <c r="B240" s="14">
        <v>33460.624150310134</v>
      </c>
      <c r="C240" s="14">
        <v>90000</v>
      </c>
    </row>
    <row r="241" spans="1:3" x14ac:dyDescent="0.5">
      <c r="A241" s="16">
        <v>43788</v>
      </c>
      <c r="B241" s="14">
        <v>34556.13456557889</v>
      </c>
      <c r="C241" s="14">
        <v>90000</v>
      </c>
    </row>
    <row r="242" spans="1:3" x14ac:dyDescent="0.5">
      <c r="A242" s="16">
        <v>43789</v>
      </c>
      <c r="B242" s="14">
        <v>34131.368053213751</v>
      </c>
      <c r="C242" s="14">
        <v>90000</v>
      </c>
    </row>
    <row r="243" spans="1:3" x14ac:dyDescent="0.5">
      <c r="A243" s="16">
        <v>43790</v>
      </c>
      <c r="B243" s="14">
        <v>33905.129589076474</v>
      </c>
      <c r="C243" s="14">
        <v>90000</v>
      </c>
    </row>
    <row r="244" spans="1:3" x14ac:dyDescent="0.5">
      <c r="A244" s="16">
        <v>43791</v>
      </c>
      <c r="B244" s="14">
        <v>31890.240717196197</v>
      </c>
      <c r="C244" s="14">
        <v>90000</v>
      </c>
    </row>
    <row r="245" spans="1:3" x14ac:dyDescent="0.5">
      <c r="A245" s="16">
        <v>43794</v>
      </c>
      <c r="B245" s="14">
        <v>30857.743028516008</v>
      </c>
      <c r="C245" s="14">
        <v>90000</v>
      </c>
    </row>
    <row r="246" spans="1:3" x14ac:dyDescent="0.5">
      <c r="A246" s="16">
        <v>43795</v>
      </c>
      <c r="B246" s="14">
        <v>30761.325964940726</v>
      </c>
      <c r="C246" s="14">
        <v>90000</v>
      </c>
    </row>
    <row r="247" spans="1:3" x14ac:dyDescent="0.5">
      <c r="A247" s="16">
        <v>43796</v>
      </c>
      <c r="B247" s="14">
        <v>31402.841072980998</v>
      </c>
      <c r="C247" s="14">
        <v>90000</v>
      </c>
    </row>
    <row r="248" spans="1:3" x14ac:dyDescent="0.5">
      <c r="A248" s="16">
        <v>43797</v>
      </c>
      <c r="B248" s="14">
        <v>31473.445694339272</v>
      </c>
      <c r="C248" s="14">
        <v>90000</v>
      </c>
    </row>
    <row r="249" spans="1:3" x14ac:dyDescent="0.5">
      <c r="A249" s="16">
        <v>43798</v>
      </c>
      <c r="B249" s="14">
        <v>30758.668801771346</v>
      </c>
      <c r="C249" s="14">
        <v>90000</v>
      </c>
    </row>
    <row r="250" spans="1:3" x14ac:dyDescent="0.5">
      <c r="A250" s="16">
        <v>43801</v>
      </c>
      <c r="B250" s="14">
        <v>30625.05145382449</v>
      </c>
      <c r="C250" s="14">
        <v>90000</v>
      </c>
    </row>
    <row r="251" spans="1:3" x14ac:dyDescent="0.5">
      <c r="A251" s="16">
        <v>43802</v>
      </c>
      <c r="B251" s="14">
        <v>31536.933673540421</v>
      </c>
      <c r="C251" s="14">
        <v>90000</v>
      </c>
    </row>
    <row r="252" spans="1:3" x14ac:dyDescent="0.5">
      <c r="A252" s="16">
        <v>43803</v>
      </c>
      <c r="B252" s="14">
        <v>31836.982057007743</v>
      </c>
      <c r="C252" s="14">
        <v>90000</v>
      </c>
    </row>
    <row r="253" spans="1:3" x14ac:dyDescent="0.5">
      <c r="A253" s="16">
        <v>43804</v>
      </c>
      <c r="B253" s="14">
        <v>33142.408362658898</v>
      </c>
      <c r="C253" s="14">
        <v>90000</v>
      </c>
    </row>
    <row r="254" spans="1:3" x14ac:dyDescent="0.5">
      <c r="A254" s="16">
        <v>43805</v>
      </c>
      <c r="B254" s="14">
        <v>34593.219453149941</v>
      </c>
      <c r="C254" s="14">
        <v>90000</v>
      </c>
    </row>
    <row r="255" spans="1:3" x14ac:dyDescent="0.5">
      <c r="A255" s="16">
        <v>43808</v>
      </c>
      <c r="B255" s="14">
        <v>34989.895954867141</v>
      </c>
      <c r="C255" s="14">
        <v>90000</v>
      </c>
    </row>
    <row r="256" spans="1:3" x14ac:dyDescent="0.5">
      <c r="A256" s="16">
        <v>43809</v>
      </c>
      <c r="B256" s="14">
        <v>36909.526286313994</v>
      </c>
      <c r="C256" s="14">
        <v>90000</v>
      </c>
    </row>
    <row r="257" spans="1:3" x14ac:dyDescent="0.5">
      <c r="A257" s="16">
        <v>43810</v>
      </c>
      <c r="B257" s="14">
        <v>36311.284978461073</v>
      </c>
      <c r="C257" s="14">
        <v>90000</v>
      </c>
    </row>
    <row r="258" spans="1:3" x14ac:dyDescent="0.5">
      <c r="A258" s="16">
        <v>43811</v>
      </c>
      <c r="B258" s="14">
        <v>38590.751383065668</v>
      </c>
      <c r="C258" s="14">
        <v>90000</v>
      </c>
    </row>
    <row r="259" spans="1:3" x14ac:dyDescent="0.5">
      <c r="A259" s="16">
        <v>43812</v>
      </c>
      <c r="B259" s="14">
        <v>39664.624898240756</v>
      </c>
      <c r="C259" s="14">
        <v>90000</v>
      </c>
    </row>
    <row r="260" spans="1:3" x14ac:dyDescent="0.5">
      <c r="A260" s="16">
        <v>43815</v>
      </c>
      <c r="B260" s="14">
        <v>41127.583020363323</v>
      </c>
      <c r="C260" s="14">
        <v>90000</v>
      </c>
    </row>
    <row r="261" spans="1:3" x14ac:dyDescent="0.5">
      <c r="A261" s="16">
        <v>43816</v>
      </c>
      <c r="B261" s="14">
        <v>41489.505346203776</v>
      </c>
      <c r="C261" s="14">
        <v>90000</v>
      </c>
    </row>
    <row r="262" spans="1:3" x14ac:dyDescent="0.5">
      <c r="A262" s="16">
        <v>43817</v>
      </c>
      <c r="B262" s="14">
        <v>40662.905126793325</v>
      </c>
      <c r="C262" s="14">
        <v>90000</v>
      </c>
    </row>
    <row r="263" spans="1:3" x14ac:dyDescent="0.5">
      <c r="A263" s="16">
        <v>43818</v>
      </c>
      <c r="B263" s="14">
        <v>39842.390208852841</v>
      </c>
      <c r="C263" s="14">
        <v>90000</v>
      </c>
    </row>
    <row r="264" spans="1:3" x14ac:dyDescent="0.5">
      <c r="A264" s="16">
        <v>43819</v>
      </c>
      <c r="B264" s="14">
        <v>39452.738290517867</v>
      </c>
      <c r="C264" s="14">
        <v>90000</v>
      </c>
    </row>
    <row r="265" spans="1:3" x14ac:dyDescent="0.5">
      <c r="A265" s="16">
        <v>43822</v>
      </c>
      <c r="B265" s="14">
        <v>37939.555434197391</v>
      </c>
      <c r="C265" s="14">
        <v>90000</v>
      </c>
    </row>
    <row r="266" spans="1:3" x14ac:dyDescent="0.5">
      <c r="A266" s="16">
        <v>43823</v>
      </c>
      <c r="B266" s="14">
        <v>38327.315869198326</v>
      </c>
      <c r="C266" s="14">
        <v>90000</v>
      </c>
    </row>
    <row r="267" spans="1:3" x14ac:dyDescent="0.5">
      <c r="A267" s="16">
        <v>43824</v>
      </c>
      <c r="B267" s="14">
        <v>38488.265984302314</v>
      </c>
      <c r="C267" s="14">
        <v>90000</v>
      </c>
    </row>
    <row r="268" spans="1:3" x14ac:dyDescent="0.5">
      <c r="A268" s="16">
        <v>43825</v>
      </c>
      <c r="B268" s="14">
        <v>38804.432060198742</v>
      </c>
      <c r="C268" s="14">
        <v>90000</v>
      </c>
    </row>
    <row r="269" spans="1:3" x14ac:dyDescent="0.5">
      <c r="A269" s="16">
        <v>43826</v>
      </c>
      <c r="B269" s="14">
        <v>37760.239257277703</v>
      </c>
      <c r="C269" s="14">
        <v>90000</v>
      </c>
    </row>
    <row r="270" spans="1:3" x14ac:dyDescent="0.5">
      <c r="A270" s="16">
        <v>43829</v>
      </c>
      <c r="B270" s="14">
        <v>39483.055376649645</v>
      </c>
      <c r="C270" s="14">
        <v>90000</v>
      </c>
    </row>
    <row r="271" spans="1:3" x14ac:dyDescent="0.5">
      <c r="A271" s="16">
        <v>43830</v>
      </c>
      <c r="B271" s="14">
        <v>39501.208027316869</v>
      </c>
      <c r="C271" s="14">
        <v>90000</v>
      </c>
    </row>
    <row r="272" spans="1:3" x14ac:dyDescent="0.5">
      <c r="A272" s="16">
        <v>43832</v>
      </c>
      <c r="B272" s="14">
        <v>41178.246185030759</v>
      </c>
      <c r="C272" s="14">
        <v>90000</v>
      </c>
    </row>
    <row r="273" spans="1:3" x14ac:dyDescent="0.5">
      <c r="A273" s="16">
        <v>43833</v>
      </c>
      <c r="B273" s="14">
        <v>40986.722382294945</v>
      </c>
      <c r="C273" s="14">
        <v>90000</v>
      </c>
    </row>
    <row r="274" spans="1:3" x14ac:dyDescent="0.5">
      <c r="A274" s="16">
        <v>43836</v>
      </c>
      <c r="B274" s="14">
        <v>41772.127491264051</v>
      </c>
      <c r="C274" s="14">
        <v>90000</v>
      </c>
    </row>
    <row r="275" spans="1:3" x14ac:dyDescent="0.5">
      <c r="A275" s="16">
        <v>43837</v>
      </c>
      <c r="B275" s="14">
        <v>42842.333588822134</v>
      </c>
      <c r="C275" s="14">
        <v>90000</v>
      </c>
    </row>
    <row r="276" spans="1:3" x14ac:dyDescent="0.5">
      <c r="A276" s="16">
        <v>43838</v>
      </c>
      <c r="B276" s="14">
        <v>40543.463615943445</v>
      </c>
      <c r="C276" s="14">
        <v>90000</v>
      </c>
    </row>
    <row r="277" spans="1:3" x14ac:dyDescent="0.5">
      <c r="A277" s="16">
        <v>43839</v>
      </c>
      <c r="B277" s="14">
        <v>42970.837587527145</v>
      </c>
      <c r="C277" s="14">
        <v>90000</v>
      </c>
    </row>
    <row r="278" spans="1:3" x14ac:dyDescent="0.5">
      <c r="A278" s="16">
        <v>43840</v>
      </c>
      <c r="B278" s="14">
        <v>43366.524722329574</v>
      </c>
      <c r="C278" s="14">
        <v>90000</v>
      </c>
    </row>
    <row r="279" spans="1:3" x14ac:dyDescent="0.5">
      <c r="A279" s="16">
        <v>43843</v>
      </c>
      <c r="B279" s="14">
        <v>45358.907198374305</v>
      </c>
      <c r="C279" s="14">
        <v>90000</v>
      </c>
    </row>
    <row r="280" spans="1:3" x14ac:dyDescent="0.5">
      <c r="A280" s="16">
        <v>43844</v>
      </c>
      <c r="B280" s="14">
        <v>44567.547323465231</v>
      </c>
      <c r="C280" s="14">
        <v>90000</v>
      </c>
    </row>
    <row r="281" spans="1:3" x14ac:dyDescent="0.5">
      <c r="A281" s="16">
        <v>43845</v>
      </c>
      <c r="B281" s="14">
        <v>44909.832149805647</v>
      </c>
      <c r="C281" s="14">
        <v>90000</v>
      </c>
    </row>
    <row r="282" spans="1:3" x14ac:dyDescent="0.5">
      <c r="A282" s="16">
        <v>43846</v>
      </c>
      <c r="B282" s="14">
        <v>44770.639925322699</v>
      </c>
      <c r="C282" s="14">
        <v>90000</v>
      </c>
    </row>
    <row r="283" spans="1:3" x14ac:dyDescent="0.5">
      <c r="A283" s="16">
        <v>43847</v>
      </c>
      <c r="B283" s="14">
        <v>44618.51333583807</v>
      </c>
      <c r="C283" s="14">
        <v>90000</v>
      </c>
    </row>
    <row r="284" spans="1:3" x14ac:dyDescent="0.5">
      <c r="A284" s="16">
        <v>43850</v>
      </c>
      <c r="B284" s="14">
        <v>48051.094817053177</v>
      </c>
      <c r="C284" s="14">
        <v>90000</v>
      </c>
    </row>
    <row r="285" spans="1:3" x14ac:dyDescent="0.5">
      <c r="A285" s="16">
        <v>43851</v>
      </c>
      <c r="B285" s="14">
        <v>46908.418650980835</v>
      </c>
      <c r="C285" s="14">
        <v>90000</v>
      </c>
    </row>
    <row r="286" spans="1:3" x14ac:dyDescent="0.5">
      <c r="A286" s="16">
        <v>43852</v>
      </c>
      <c r="B286" s="14">
        <v>48718.386329234927</v>
      </c>
      <c r="C286" s="14">
        <v>90000</v>
      </c>
    </row>
    <row r="287" spans="1:3" x14ac:dyDescent="0.5">
      <c r="A287" s="16">
        <v>43853</v>
      </c>
      <c r="B287" s="14">
        <v>45139.96895340053</v>
      </c>
      <c r="C287" s="14">
        <v>90000</v>
      </c>
    </row>
    <row r="288" spans="1:3" x14ac:dyDescent="0.5">
      <c r="A288" s="16">
        <v>43864</v>
      </c>
      <c r="B288" s="14">
        <v>35205.328031459518</v>
      </c>
      <c r="C288" s="14">
        <v>90000</v>
      </c>
    </row>
    <row r="289" spans="1:3" x14ac:dyDescent="0.5">
      <c r="A289" s="16">
        <v>43865</v>
      </c>
      <c r="B289" s="14">
        <v>40474.626870576045</v>
      </c>
      <c r="C289" s="14">
        <v>90000</v>
      </c>
    </row>
    <row r="290" spans="1:3" x14ac:dyDescent="0.5">
      <c r="A290" s="16">
        <v>43866</v>
      </c>
      <c r="B290" s="14">
        <v>42129.959161585983</v>
      </c>
      <c r="C290" s="14">
        <v>90000</v>
      </c>
    </row>
    <row r="291" spans="1:3" x14ac:dyDescent="0.5">
      <c r="A291" s="16">
        <v>43867</v>
      </c>
      <c r="B291" s="14">
        <v>43839.665405563544</v>
      </c>
      <c r="C291" s="14">
        <v>90000</v>
      </c>
    </row>
    <row r="292" spans="1:3" x14ac:dyDescent="0.5">
      <c r="A292" s="16">
        <v>43868</v>
      </c>
      <c r="B292" s="14">
        <v>43889.19577887826</v>
      </c>
      <c r="C292" s="14">
        <v>90000</v>
      </c>
    </row>
    <row r="293" spans="1:3" x14ac:dyDescent="0.5">
      <c r="A293" s="16">
        <v>43871</v>
      </c>
      <c r="B293" s="14">
        <v>44599.778315871896</v>
      </c>
      <c r="C293" s="14">
        <v>90000</v>
      </c>
    </row>
    <row r="294" spans="1:3" x14ac:dyDescent="0.5">
      <c r="A294" s="16">
        <v>43872</v>
      </c>
      <c r="B294" s="14">
        <v>44348.572427593317</v>
      </c>
      <c r="C294" s="14">
        <v>90000</v>
      </c>
    </row>
    <row r="295" spans="1:3" x14ac:dyDescent="0.5">
      <c r="A295" s="16">
        <v>43873</v>
      </c>
      <c r="B295" s="14">
        <v>47033.28970821909</v>
      </c>
      <c r="C295" s="14">
        <v>90000</v>
      </c>
    </row>
    <row r="296" spans="1:3" x14ac:dyDescent="0.5">
      <c r="A296" s="16">
        <v>43874</v>
      </c>
      <c r="B296" s="14">
        <v>46323.440671786317</v>
      </c>
      <c r="C296" s="14">
        <v>90000</v>
      </c>
    </row>
    <row r="297" spans="1:3" x14ac:dyDescent="0.5">
      <c r="A297" s="16">
        <v>43875</v>
      </c>
      <c r="B297" s="14">
        <v>46237.847036719788</v>
      </c>
      <c r="C297" s="14">
        <v>90000</v>
      </c>
    </row>
    <row r="298" spans="1:3" x14ac:dyDescent="0.5">
      <c r="A298" s="16">
        <v>43878</v>
      </c>
      <c r="B298" s="14">
        <v>50562.105197546975</v>
      </c>
      <c r="C298" s="14">
        <v>90000</v>
      </c>
    </row>
    <row r="299" spans="1:3" x14ac:dyDescent="0.5">
      <c r="A299" s="16">
        <v>43879</v>
      </c>
      <c r="B299" s="14">
        <v>52657.313957804843</v>
      </c>
      <c r="C299" s="14">
        <v>90000</v>
      </c>
    </row>
    <row r="300" spans="1:3" x14ac:dyDescent="0.5">
      <c r="A300" s="16">
        <v>43880</v>
      </c>
      <c r="B300" s="14">
        <v>50859.81873531008</v>
      </c>
      <c r="C300" s="14">
        <v>90000</v>
      </c>
    </row>
    <row r="301" spans="1:3" x14ac:dyDescent="0.5">
      <c r="A301" s="16">
        <v>43881</v>
      </c>
      <c r="B301" s="14">
        <v>55189.298058357264</v>
      </c>
      <c r="C301" s="14">
        <v>90000</v>
      </c>
    </row>
    <row r="302" spans="1:3" x14ac:dyDescent="0.5">
      <c r="A302" s="16">
        <v>43882</v>
      </c>
      <c r="B302" s="14">
        <v>57852.98832290541</v>
      </c>
      <c r="C302" s="14">
        <v>90000</v>
      </c>
    </row>
    <row r="303" spans="1:3" x14ac:dyDescent="0.5">
      <c r="A303" s="16">
        <v>43885</v>
      </c>
      <c r="B303" s="14">
        <v>61791.533008381462</v>
      </c>
      <c r="C303" s="14">
        <v>90000</v>
      </c>
    </row>
    <row r="304" spans="1:3" x14ac:dyDescent="0.5">
      <c r="A304" s="16">
        <v>43886</v>
      </c>
      <c r="B304" s="14">
        <v>59512.477588835347</v>
      </c>
      <c r="C304" s="14">
        <v>90000</v>
      </c>
    </row>
    <row r="305" spans="1:3" x14ac:dyDescent="0.5">
      <c r="A305" s="16">
        <v>43887</v>
      </c>
      <c r="B305" s="14">
        <v>55884.079543182714</v>
      </c>
      <c r="C305" s="14">
        <v>90000</v>
      </c>
    </row>
    <row r="306" spans="1:3" x14ac:dyDescent="0.5">
      <c r="A306" s="16">
        <v>43888</v>
      </c>
      <c r="B306" s="14">
        <v>55884.079543182714</v>
      </c>
      <c r="C306" s="14">
        <v>90000</v>
      </c>
    </row>
    <row r="307" spans="1:3" x14ac:dyDescent="0.5">
      <c r="A307" s="16">
        <v>43889</v>
      </c>
      <c r="B307" s="14">
        <v>55884.079543182714</v>
      </c>
      <c r="C307" s="14">
        <v>90000</v>
      </c>
    </row>
    <row r="308" spans="1:3" x14ac:dyDescent="0.5">
      <c r="A308" s="16">
        <v>43892</v>
      </c>
      <c r="B308" s="14">
        <v>55884.079543182714</v>
      </c>
      <c r="C308" s="14">
        <v>90000</v>
      </c>
    </row>
    <row r="309" spans="1:3" x14ac:dyDescent="0.5">
      <c r="A309" s="16">
        <v>43893</v>
      </c>
      <c r="B309" s="14">
        <v>55884.079543182714</v>
      </c>
      <c r="C309" s="14">
        <v>90000</v>
      </c>
    </row>
    <row r="310" spans="1:3" x14ac:dyDescent="0.5">
      <c r="A310" s="16">
        <v>43894</v>
      </c>
      <c r="B310" s="14">
        <v>55884.079543182714</v>
      </c>
      <c r="C310" s="14">
        <v>90000</v>
      </c>
    </row>
    <row r="311" spans="1:3" x14ac:dyDescent="0.5">
      <c r="A311" s="16">
        <v>43895</v>
      </c>
      <c r="B311" s="14">
        <v>55884.079543182714</v>
      </c>
      <c r="C311" s="14">
        <v>90000</v>
      </c>
    </row>
    <row r="312" spans="1:3" x14ac:dyDescent="0.5">
      <c r="A312" s="16">
        <v>43896</v>
      </c>
      <c r="B312" s="14">
        <v>55757.601081257308</v>
      </c>
      <c r="C312" s="14">
        <v>90000</v>
      </c>
    </row>
    <row r="313" spans="1:3" x14ac:dyDescent="0.5">
      <c r="A313" s="16">
        <v>43899</v>
      </c>
      <c r="B313" s="14">
        <v>55220.731337557751</v>
      </c>
      <c r="C313" s="14">
        <v>90000</v>
      </c>
    </row>
    <row r="314" spans="1:3" x14ac:dyDescent="0.5">
      <c r="A314" s="16">
        <v>43900</v>
      </c>
      <c r="B314" s="14">
        <v>55541.669723479397</v>
      </c>
      <c r="C314" s="14">
        <v>90000</v>
      </c>
    </row>
    <row r="315" spans="1:3" x14ac:dyDescent="0.5">
      <c r="A315" s="16">
        <v>43901</v>
      </c>
      <c r="B315" s="14">
        <v>55213.94720175938</v>
      </c>
      <c r="C315" s="14">
        <v>90000</v>
      </c>
    </row>
    <row r="316" spans="1:3" x14ac:dyDescent="0.5">
      <c r="A316" s="16">
        <v>43902</v>
      </c>
      <c r="B316" s="14">
        <v>54563.385757498152</v>
      </c>
      <c r="C316" s="14">
        <v>90000</v>
      </c>
    </row>
    <row r="317" spans="1:3" x14ac:dyDescent="0.5">
      <c r="A317" s="16">
        <v>43903</v>
      </c>
      <c r="B317" s="14">
        <v>55361.347854142077</v>
      </c>
      <c r="C317" s="14">
        <v>90000</v>
      </c>
    </row>
    <row r="318" spans="1:3" x14ac:dyDescent="0.5">
      <c r="A318" s="16">
        <v>43906</v>
      </c>
      <c r="B318" s="14">
        <v>55123.683436923631</v>
      </c>
      <c r="C318" s="14">
        <v>90000</v>
      </c>
    </row>
    <row r="319" spans="1:3" x14ac:dyDescent="0.5">
      <c r="A319" s="16">
        <v>43907</v>
      </c>
      <c r="B319" s="14">
        <v>55123.683436923631</v>
      </c>
      <c r="C319" s="14">
        <v>90000</v>
      </c>
    </row>
    <row r="320" spans="1:3" x14ac:dyDescent="0.5">
      <c r="A320" s="16">
        <v>43908</v>
      </c>
      <c r="B320" s="14">
        <v>55123.683436923631</v>
      </c>
      <c r="C320" s="14">
        <v>90000</v>
      </c>
    </row>
    <row r="321" spans="1:3" x14ac:dyDescent="0.5">
      <c r="A321" s="16">
        <v>43909</v>
      </c>
      <c r="B321" s="14">
        <v>55123.683436923631</v>
      </c>
      <c r="C321" s="14">
        <v>90000</v>
      </c>
    </row>
    <row r="322" spans="1:3" x14ac:dyDescent="0.5">
      <c r="A322" s="16">
        <v>43910</v>
      </c>
      <c r="B322" s="14">
        <v>55127.296388740418</v>
      </c>
      <c r="C322" s="14">
        <v>90000</v>
      </c>
    </row>
    <row r="323" spans="1:3" x14ac:dyDescent="0.5">
      <c r="A323" s="16">
        <v>43913</v>
      </c>
      <c r="B323" s="14">
        <v>55127.296388740477</v>
      </c>
      <c r="C323" s="14">
        <v>90000</v>
      </c>
    </row>
    <row r="324" spans="1:3" x14ac:dyDescent="0.5">
      <c r="A324" s="16">
        <v>43914</v>
      </c>
      <c r="B324" s="14">
        <v>55127.296388740477</v>
      </c>
      <c r="C324" s="14">
        <v>90000</v>
      </c>
    </row>
    <row r="325" spans="1:3" x14ac:dyDescent="0.5">
      <c r="A325" s="16">
        <v>43915</v>
      </c>
      <c r="B325" s="14">
        <v>55127.296388740477</v>
      </c>
      <c r="C325" s="14">
        <v>90000</v>
      </c>
    </row>
    <row r="326" spans="1:3" x14ac:dyDescent="0.5">
      <c r="A326" s="16">
        <v>43916</v>
      </c>
      <c r="B326" s="14">
        <v>55127.296388740477</v>
      </c>
      <c r="C326" s="14">
        <v>90000</v>
      </c>
    </row>
    <row r="327" spans="1:3" x14ac:dyDescent="0.5">
      <c r="A327" s="16">
        <v>43917</v>
      </c>
      <c r="B327" s="14">
        <v>55127.296388740477</v>
      </c>
      <c r="C327" s="14">
        <v>90000</v>
      </c>
    </row>
    <row r="328" spans="1:3" x14ac:dyDescent="0.5">
      <c r="A328" s="16">
        <v>43920</v>
      </c>
      <c r="B328" s="14">
        <v>55127.296388740477</v>
      </c>
      <c r="C328" s="14">
        <v>90000</v>
      </c>
    </row>
    <row r="329" spans="1:3" x14ac:dyDescent="0.5">
      <c r="A329" s="16">
        <v>43921</v>
      </c>
      <c r="B329" s="14">
        <v>55127.296388740477</v>
      </c>
      <c r="C329" s="14">
        <v>190000</v>
      </c>
    </row>
    <row r="330" spans="1:3" x14ac:dyDescent="0.5">
      <c r="A330" s="16">
        <v>43922</v>
      </c>
      <c r="B330" s="14">
        <v>55127.296388740477</v>
      </c>
      <c r="C330" s="14">
        <v>190000</v>
      </c>
    </row>
    <row r="331" spans="1:3" x14ac:dyDescent="0.5">
      <c r="A331" s="16">
        <v>43923</v>
      </c>
      <c r="B331" s="14">
        <v>55127.296388740477</v>
      </c>
      <c r="C331" s="14">
        <v>190000</v>
      </c>
    </row>
    <row r="332" spans="1:3" x14ac:dyDescent="0.5">
      <c r="A332" s="16">
        <v>43924</v>
      </c>
      <c r="B332" s="14">
        <v>55127.296388740477</v>
      </c>
      <c r="C332" s="14">
        <v>190000</v>
      </c>
    </row>
    <row r="333" spans="1:3" x14ac:dyDescent="0.5">
      <c r="A333" s="16">
        <v>43928</v>
      </c>
      <c r="B333" s="14">
        <v>55127.296388740477</v>
      </c>
      <c r="C333" s="14">
        <v>190000</v>
      </c>
    </row>
    <row r="334" spans="1:3" x14ac:dyDescent="0.5">
      <c r="A334" s="16">
        <v>43929</v>
      </c>
      <c r="B334" s="14">
        <v>55127.296388740477</v>
      </c>
      <c r="C334" s="14">
        <v>190000</v>
      </c>
    </row>
    <row r="335" spans="1:3" x14ac:dyDescent="0.5">
      <c r="A335" s="16">
        <v>43930</v>
      </c>
      <c r="B335" s="14">
        <v>55115.556304117199</v>
      </c>
      <c r="C335" s="14">
        <v>190000</v>
      </c>
    </row>
    <row r="336" spans="1:3" x14ac:dyDescent="0.5">
      <c r="A336" s="16">
        <v>43931</v>
      </c>
      <c r="B336" s="14">
        <v>54145.276395755907</v>
      </c>
      <c r="C336" s="14">
        <v>190000</v>
      </c>
    </row>
    <row r="337" spans="1:3" x14ac:dyDescent="0.5">
      <c r="A337" s="16">
        <v>43934</v>
      </c>
      <c r="B337" s="14">
        <v>53687.642819039669</v>
      </c>
      <c r="C337" s="14">
        <v>190000</v>
      </c>
    </row>
    <row r="338" spans="1:3" x14ac:dyDescent="0.5">
      <c r="A338" s="16">
        <v>43935</v>
      </c>
      <c r="B338" s="14">
        <v>55646.024350216205</v>
      </c>
      <c r="C338" s="14">
        <v>190000</v>
      </c>
    </row>
    <row r="339" spans="1:3" x14ac:dyDescent="0.5">
      <c r="A339" s="16">
        <v>43936</v>
      </c>
      <c r="B339" s="14">
        <v>54688.393493529962</v>
      </c>
      <c r="C339" s="14">
        <v>190000</v>
      </c>
    </row>
    <row r="340" spans="1:3" x14ac:dyDescent="0.5">
      <c r="A340" s="16">
        <v>43937</v>
      </c>
      <c r="B340" s="14">
        <v>54875.806781809253</v>
      </c>
      <c r="C340" s="14">
        <v>190000</v>
      </c>
    </row>
    <row r="341" spans="1:3" x14ac:dyDescent="0.5">
      <c r="A341" s="16">
        <v>43938</v>
      </c>
      <c r="B341" s="14">
        <v>55718.852654529939</v>
      </c>
      <c r="C341" s="14">
        <v>190000</v>
      </c>
    </row>
    <row r="342" spans="1:3" x14ac:dyDescent="0.5">
      <c r="A342" s="16">
        <v>43941</v>
      </c>
      <c r="B342" s="14">
        <v>56405.94297685122</v>
      </c>
      <c r="C342" s="14">
        <v>190000</v>
      </c>
    </row>
    <row r="343" spans="1:3" x14ac:dyDescent="0.5">
      <c r="A343" s="16">
        <v>43942</v>
      </c>
      <c r="B343" s="14">
        <v>54504.435188812466</v>
      </c>
      <c r="C343" s="14">
        <v>190000</v>
      </c>
    </row>
    <row r="344" spans="1:3" x14ac:dyDescent="0.5">
      <c r="A344" s="16">
        <v>43943</v>
      </c>
      <c r="B344" s="14">
        <v>55335.796153333824</v>
      </c>
      <c r="C344" s="14">
        <v>190000</v>
      </c>
    </row>
    <row r="345" spans="1:3" x14ac:dyDescent="0.5">
      <c r="A345" s="16">
        <v>43944</v>
      </c>
      <c r="B345" s="14">
        <v>55652.388912920287</v>
      </c>
      <c r="C345" s="14">
        <v>190000</v>
      </c>
    </row>
    <row r="346" spans="1:3" x14ac:dyDescent="0.5">
      <c r="A346" s="16">
        <v>43945</v>
      </c>
      <c r="B346" s="14">
        <v>54762.407052813418</v>
      </c>
      <c r="C346" s="14">
        <v>190000</v>
      </c>
    </row>
    <row r="347" spans="1:3" x14ac:dyDescent="0.5">
      <c r="A347" s="16">
        <v>43948</v>
      </c>
      <c r="B347" s="14">
        <v>55816.154801927041</v>
      </c>
      <c r="C347" s="14">
        <v>190000</v>
      </c>
    </row>
    <row r="348" spans="1:3" x14ac:dyDescent="0.5">
      <c r="A348" s="16">
        <v>43949</v>
      </c>
      <c r="B348" s="14">
        <v>55363.072724423895</v>
      </c>
      <c r="C348" s="14">
        <v>190000</v>
      </c>
    </row>
    <row r="349" spans="1:3" x14ac:dyDescent="0.5">
      <c r="A349" s="16">
        <v>43950</v>
      </c>
      <c r="B349" s="14">
        <v>55749.799851748074</v>
      </c>
      <c r="C349" s="14">
        <v>190000</v>
      </c>
    </row>
    <row r="350" spans="1:3" x14ac:dyDescent="0.5">
      <c r="A350" s="16">
        <v>43951</v>
      </c>
      <c r="B350" s="14">
        <v>58898.598080355383</v>
      </c>
      <c r="C350" s="14">
        <v>190000</v>
      </c>
    </row>
    <row r="351" spans="1:3" x14ac:dyDescent="0.5">
      <c r="A351" s="16">
        <v>43957</v>
      </c>
      <c r="B351" s="14">
        <v>58556.013082497724</v>
      </c>
      <c r="C351" s="14">
        <v>190000</v>
      </c>
    </row>
    <row r="352" spans="1:3" x14ac:dyDescent="0.5">
      <c r="A352" s="16">
        <v>43958</v>
      </c>
      <c r="B352" s="14">
        <v>57482.404940719483</v>
      </c>
      <c r="C352" s="14">
        <v>190000</v>
      </c>
    </row>
    <row r="353" spans="1:3" x14ac:dyDescent="0.5">
      <c r="A353" s="16">
        <v>43959</v>
      </c>
      <c r="B353" s="14">
        <v>59372.185393302439</v>
      </c>
      <c r="C353" s="14">
        <v>190000</v>
      </c>
    </row>
    <row r="354" spans="1:3" x14ac:dyDescent="0.5">
      <c r="A354" s="16">
        <v>43962</v>
      </c>
      <c r="B354" s="14">
        <v>58929.504327063187</v>
      </c>
      <c r="C354" s="14">
        <v>190000</v>
      </c>
    </row>
    <row r="355" spans="1:3" x14ac:dyDescent="0.5">
      <c r="A355" s="16">
        <v>43963</v>
      </c>
      <c r="B355" s="14">
        <v>58822.336556310504</v>
      </c>
      <c r="C355" s="14">
        <v>190000</v>
      </c>
    </row>
    <row r="356" spans="1:3" x14ac:dyDescent="0.5">
      <c r="A356" s="16">
        <v>43964</v>
      </c>
      <c r="B356" s="14">
        <v>59974.595558913948</v>
      </c>
      <c r="C356" s="14">
        <v>190000</v>
      </c>
    </row>
    <row r="357" spans="1:3" x14ac:dyDescent="0.5">
      <c r="A357" s="16">
        <v>43965</v>
      </c>
      <c r="B357" s="14">
        <v>58119.582036061591</v>
      </c>
      <c r="C357" s="14">
        <v>190000</v>
      </c>
    </row>
    <row r="358" spans="1:3" x14ac:dyDescent="0.5">
      <c r="A358" s="16">
        <v>43966</v>
      </c>
      <c r="B358" s="14">
        <v>58726.369126856327</v>
      </c>
      <c r="C358" s="14">
        <v>190000</v>
      </c>
    </row>
    <row r="359" spans="1:3" x14ac:dyDescent="0.5">
      <c r="A359" s="16">
        <v>43969</v>
      </c>
      <c r="B359" s="14">
        <v>59203.37751898673</v>
      </c>
      <c r="C359" s="14">
        <v>190000</v>
      </c>
    </row>
    <row r="360" spans="1:3" x14ac:dyDescent="0.5">
      <c r="A360" s="16">
        <v>43970</v>
      </c>
      <c r="B360" s="14">
        <v>61890.681382645911</v>
      </c>
      <c r="C360" s="14">
        <v>190000</v>
      </c>
    </row>
    <row r="361" spans="1:3" x14ac:dyDescent="0.5">
      <c r="A361" s="16">
        <v>43971</v>
      </c>
      <c r="B361" s="14">
        <v>60736.179991451267</v>
      </c>
      <c r="C361" s="14">
        <v>190000</v>
      </c>
    </row>
    <row r="362" spans="1:3" x14ac:dyDescent="0.5">
      <c r="A362" s="16">
        <v>43972</v>
      </c>
      <c r="B362" s="14">
        <v>59178.657750485581</v>
      </c>
      <c r="C362" s="14">
        <v>190000</v>
      </c>
    </row>
    <row r="363" spans="1:3" x14ac:dyDescent="0.5">
      <c r="A363" s="16">
        <v>43973</v>
      </c>
      <c r="B363" s="14">
        <v>55019.189892727445</v>
      </c>
      <c r="C363" s="14">
        <v>190000</v>
      </c>
    </row>
    <row r="364" spans="1:3" x14ac:dyDescent="0.5">
      <c r="A364" s="16">
        <v>43976</v>
      </c>
      <c r="B364" s="14">
        <v>55216.118645455717</v>
      </c>
      <c r="C364" s="14">
        <v>190000</v>
      </c>
    </row>
    <row r="365" spans="1:3" x14ac:dyDescent="0.5">
      <c r="A365" s="16">
        <v>43977</v>
      </c>
      <c r="B365" s="14">
        <v>57178.133176044299</v>
      </c>
      <c r="C365" s="14">
        <v>190000</v>
      </c>
    </row>
    <row r="366" spans="1:3" x14ac:dyDescent="0.5">
      <c r="A366" s="16">
        <v>43978</v>
      </c>
      <c r="B366" s="14">
        <v>55329.760534456553</v>
      </c>
      <c r="C366" s="14">
        <v>190000</v>
      </c>
    </row>
    <row r="367" spans="1:3" x14ac:dyDescent="0.5">
      <c r="A367" s="16">
        <v>43979</v>
      </c>
      <c r="B367" s="14">
        <v>55011.937946675636</v>
      </c>
      <c r="C367" s="14">
        <v>190000</v>
      </c>
    </row>
    <row r="368" spans="1:3" x14ac:dyDescent="0.5">
      <c r="A368" s="16">
        <v>43980</v>
      </c>
      <c r="B368" s="14">
        <v>55799.631906946801</v>
      </c>
      <c r="C368" s="14">
        <v>190000</v>
      </c>
    </row>
    <row r="369" spans="1:3" x14ac:dyDescent="0.5">
      <c r="A369" s="16">
        <v>43983</v>
      </c>
      <c r="B369" s="14">
        <v>60010.414913879242</v>
      </c>
      <c r="C369" s="14">
        <v>190000</v>
      </c>
    </row>
    <row r="370" spans="1:3" x14ac:dyDescent="0.5">
      <c r="A370" s="16">
        <v>43984</v>
      </c>
      <c r="B370" s="14">
        <v>59078.460906312859</v>
      </c>
      <c r="C370" s="14">
        <v>190000</v>
      </c>
    </row>
    <row r="371" spans="1:3" x14ac:dyDescent="0.5">
      <c r="A371" s="16">
        <v>43985</v>
      </c>
      <c r="B371" s="14">
        <v>58053.778822234715</v>
      </c>
      <c r="C371" s="14">
        <v>190000</v>
      </c>
    </row>
    <row r="372" spans="1:3" x14ac:dyDescent="0.5">
      <c r="A372" s="16">
        <v>43986</v>
      </c>
      <c r="B372" s="14">
        <v>58432.879827887518</v>
      </c>
      <c r="C372" s="14">
        <v>190000</v>
      </c>
    </row>
    <row r="373" spans="1:3" x14ac:dyDescent="0.5">
      <c r="A373" s="16">
        <v>43987</v>
      </c>
      <c r="B373" s="14">
        <v>59789.19372067551</v>
      </c>
      <c r="C373" s="14">
        <v>190000</v>
      </c>
    </row>
    <row r="374" spans="1:3" x14ac:dyDescent="0.5">
      <c r="A374" s="16">
        <v>43990</v>
      </c>
      <c r="B374" s="14">
        <v>57966.368137806159</v>
      </c>
      <c r="C374" s="14">
        <v>190000</v>
      </c>
    </row>
    <row r="375" spans="1:3" x14ac:dyDescent="0.5">
      <c r="A375" s="16">
        <v>43991</v>
      </c>
      <c r="B375" s="14">
        <v>60614.370453486306</v>
      </c>
      <c r="C375" s="14">
        <v>190000</v>
      </c>
    </row>
    <row r="376" spans="1:3" x14ac:dyDescent="0.5">
      <c r="A376" s="16">
        <v>43992</v>
      </c>
      <c r="B376" s="14">
        <v>63210.474517218187</v>
      </c>
      <c r="C376" s="14">
        <v>190000</v>
      </c>
    </row>
    <row r="377" spans="1:3" x14ac:dyDescent="0.5">
      <c r="A377" s="16">
        <v>43993</v>
      </c>
      <c r="B377" s="14">
        <v>64016.134394592227</v>
      </c>
      <c r="C377" s="14">
        <v>190000</v>
      </c>
    </row>
    <row r="378" spans="1:3" x14ac:dyDescent="0.5">
      <c r="A378" s="16">
        <v>43994</v>
      </c>
      <c r="B378" s="14">
        <v>66374.221657442424</v>
      </c>
      <c r="C378" s="14">
        <v>190000</v>
      </c>
    </row>
    <row r="379" spans="1:3" x14ac:dyDescent="0.5">
      <c r="A379" s="16">
        <v>43997</v>
      </c>
      <c r="B379" s="14">
        <v>65490.829378948838</v>
      </c>
      <c r="C379" s="14">
        <v>190000</v>
      </c>
    </row>
    <row r="380" spans="1:3" x14ac:dyDescent="0.5">
      <c r="A380" s="16">
        <v>43998</v>
      </c>
      <c r="B380" s="14">
        <v>70578.4804045372</v>
      </c>
      <c r="C380" s="14">
        <v>190000</v>
      </c>
    </row>
    <row r="381" spans="1:3" x14ac:dyDescent="0.5">
      <c r="A381" s="16">
        <v>43999</v>
      </c>
      <c r="B381" s="14">
        <v>70019.109042224009</v>
      </c>
      <c r="C381" s="14">
        <v>190000</v>
      </c>
    </row>
    <row r="382" spans="1:3" x14ac:dyDescent="0.5">
      <c r="A382" s="16">
        <v>44000</v>
      </c>
      <c r="B382" s="14">
        <v>71697.223129163554</v>
      </c>
      <c r="C382" s="14">
        <v>190000</v>
      </c>
    </row>
    <row r="383" spans="1:3" x14ac:dyDescent="0.5">
      <c r="A383" s="16">
        <v>44001</v>
      </c>
      <c r="B383" s="14">
        <v>78247.287244560139</v>
      </c>
      <c r="C383" s="14">
        <v>190000</v>
      </c>
    </row>
    <row r="384" spans="1:3" x14ac:dyDescent="0.5">
      <c r="A384" s="16">
        <v>44004</v>
      </c>
      <c r="B384" s="14">
        <v>81808.728565556579</v>
      </c>
      <c r="C384" s="14">
        <v>190000</v>
      </c>
    </row>
    <row r="385" spans="1:3" x14ac:dyDescent="0.5">
      <c r="A385" s="16">
        <v>44005</v>
      </c>
      <c r="B385" s="14">
        <v>86895.799136848247</v>
      </c>
      <c r="C385" s="14">
        <v>190000</v>
      </c>
    </row>
    <row r="386" spans="1:3" x14ac:dyDescent="0.5">
      <c r="A386" s="16">
        <v>44006</v>
      </c>
      <c r="B386" s="14">
        <v>86194.275858193694</v>
      </c>
      <c r="C386" s="14">
        <v>190000</v>
      </c>
    </row>
    <row r="387" spans="1:3" x14ac:dyDescent="0.5">
      <c r="A387" s="16">
        <v>44011</v>
      </c>
      <c r="B387" s="14">
        <v>84083.36000721954</v>
      </c>
      <c r="C387" s="14">
        <v>240000</v>
      </c>
    </row>
    <row r="388" spans="1:3" x14ac:dyDescent="0.5">
      <c r="A388" s="16">
        <v>44012</v>
      </c>
      <c r="B388" s="14">
        <v>92915.499071636761</v>
      </c>
      <c r="C388" s="14">
        <v>240000</v>
      </c>
    </row>
    <row r="389" spans="1:3" x14ac:dyDescent="0.5">
      <c r="A389" s="16">
        <v>44013</v>
      </c>
      <c r="B389" s="14">
        <v>89318.843958627607</v>
      </c>
      <c r="C389" s="14">
        <v>240000</v>
      </c>
    </row>
    <row r="390" spans="1:3" x14ac:dyDescent="0.5">
      <c r="A390" s="16">
        <v>44014</v>
      </c>
      <c r="B390" s="14">
        <v>91328.296695369296</v>
      </c>
      <c r="C390" s="14">
        <v>240000</v>
      </c>
    </row>
    <row r="391" spans="1:3" x14ac:dyDescent="0.5">
      <c r="A391" s="16">
        <v>44015</v>
      </c>
      <c r="B391" s="14">
        <v>96085.169612527941</v>
      </c>
      <c r="C391" s="14">
        <v>240000</v>
      </c>
    </row>
    <row r="392" spans="1:3" x14ac:dyDescent="0.5">
      <c r="A392" s="16">
        <v>44018</v>
      </c>
      <c r="B392" s="14">
        <v>107028.7670701184</v>
      </c>
      <c r="C392" s="14">
        <v>240000</v>
      </c>
    </row>
    <row r="393" spans="1:3" x14ac:dyDescent="0.5">
      <c r="A393" s="16">
        <v>44019</v>
      </c>
      <c r="B393" s="14">
        <v>115163.6950014605</v>
      </c>
      <c r="C393" s="14">
        <v>240000</v>
      </c>
    </row>
    <row r="394" spans="1:3" x14ac:dyDescent="0.5">
      <c r="A394" s="16">
        <v>44020</v>
      </c>
      <c r="B394" s="14">
        <v>129171.32366230607</v>
      </c>
      <c r="C394" s="14">
        <v>240000</v>
      </c>
    </row>
    <row r="395" spans="1:3" x14ac:dyDescent="0.5">
      <c r="A395" s="16">
        <v>44021</v>
      </c>
      <c r="B395" s="14">
        <v>138273.18275207322</v>
      </c>
      <c r="C395" s="14">
        <v>240000</v>
      </c>
    </row>
    <row r="396" spans="1:3" x14ac:dyDescent="0.5">
      <c r="A396" s="16">
        <v>44022</v>
      </c>
      <c r="B396" s="14">
        <v>140445.66079202777</v>
      </c>
      <c r="C396" s="14">
        <v>240000</v>
      </c>
    </row>
    <row r="397" spans="1:3" x14ac:dyDescent="0.5">
      <c r="A397" s="16">
        <v>44025</v>
      </c>
      <c r="B397" s="14">
        <v>158527.66565935739</v>
      </c>
      <c r="C397" s="14">
        <v>240000</v>
      </c>
    </row>
    <row r="398" spans="1:3" x14ac:dyDescent="0.5">
      <c r="A398" s="16">
        <v>44026</v>
      </c>
      <c r="B398" s="14">
        <v>152776.41946857848</v>
      </c>
      <c r="C398" s="14">
        <v>240000</v>
      </c>
    </row>
    <row r="399" spans="1:3" x14ac:dyDescent="0.5">
      <c r="A399" s="16">
        <v>44027</v>
      </c>
      <c r="B399" s="14">
        <v>144650.73677274317</v>
      </c>
      <c r="C399" s="14">
        <v>240000</v>
      </c>
    </row>
    <row r="400" spans="1:3" x14ac:dyDescent="0.5">
      <c r="A400" s="16">
        <v>44028</v>
      </c>
      <c r="B400" s="14">
        <v>128447.5721826537</v>
      </c>
      <c r="C400" s="14">
        <v>240000</v>
      </c>
    </row>
    <row r="401" spans="1:3" x14ac:dyDescent="0.5">
      <c r="A401" s="16">
        <v>44029</v>
      </c>
      <c r="B401" s="14">
        <v>256895.14436530741</v>
      </c>
      <c r="C401" s="14">
        <v>480000</v>
      </c>
    </row>
    <row r="402" spans="1:3" x14ac:dyDescent="0.5">
      <c r="A402" s="16">
        <v>44032</v>
      </c>
      <c r="B402" s="14">
        <v>128447.57218265225</v>
      </c>
      <c r="C402" s="14">
        <v>240000</v>
      </c>
    </row>
    <row r="403" spans="1:3" x14ac:dyDescent="0.5">
      <c r="A403" s="16">
        <v>44033</v>
      </c>
      <c r="B403" s="14">
        <v>128447.57218265225</v>
      </c>
      <c r="C403" s="14">
        <v>240000</v>
      </c>
    </row>
    <row r="404" spans="1:3" x14ac:dyDescent="0.5">
      <c r="A404" s="16">
        <v>44034</v>
      </c>
      <c r="B404" s="14">
        <v>128447.57218265225</v>
      </c>
      <c r="C404" s="14">
        <v>240000</v>
      </c>
    </row>
    <row r="405" spans="1:3" x14ac:dyDescent="0.5">
      <c r="A405" s="16">
        <v>44035</v>
      </c>
      <c r="B405" s="14">
        <v>128447.57218265225</v>
      </c>
      <c r="C405" s="14">
        <v>240000</v>
      </c>
    </row>
    <row r="406" spans="1:3" x14ac:dyDescent="0.5">
      <c r="A406" s="16">
        <v>44036</v>
      </c>
      <c r="B406" s="14">
        <v>128447.57218265225</v>
      </c>
      <c r="C406" s="14">
        <v>240000</v>
      </c>
    </row>
    <row r="407" spans="1:3" x14ac:dyDescent="0.5">
      <c r="A407" s="16">
        <v>44039</v>
      </c>
      <c r="B407" s="14">
        <v>128447.57218265225</v>
      </c>
      <c r="C407" s="14">
        <v>240000</v>
      </c>
    </row>
    <row r="408" spans="1:3" x14ac:dyDescent="0.5">
      <c r="A408" s="16">
        <v>44040</v>
      </c>
      <c r="B408" s="14">
        <v>128447.57218265225</v>
      </c>
      <c r="C408" s="14">
        <v>240000</v>
      </c>
    </row>
    <row r="409" spans="1:3" x14ac:dyDescent="0.5">
      <c r="A409" s="16">
        <v>44041</v>
      </c>
      <c r="B409" s="14">
        <v>128447.57218265225</v>
      </c>
      <c r="C409" s="14">
        <v>240000</v>
      </c>
    </row>
    <row r="410" spans="1:3" x14ac:dyDescent="0.5">
      <c r="A410" s="16">
        <v>44042</v>
      </c>
      <c r="B410" s="14">
        <v>128447.57218265225</v>
      </c>
      <c r="C410" s="14">
        <v>240000</v>
      </c>
    </row>
    <row r="411" spans="1:3" x14ac:dyDescent="0.5">
      <c r="A411" s="16">
        <v>44043</v>
      </c>
      <c r="B411" s="14">
        <v>128447.57218265225</v>
      </c>
      <c r="C411" s="14">
        <v>240000</v>
      </c>
    </row>
    <row r="412" spans="1:3" x14ac:dyDescent="0.5">
      <c r="A412" s="16">
        <v>44046</v>
      </c>
      <c r="B412" s="14">
        <v>130952.31367055164</v>
      </c>
      <c r="C412" s="14">
        <v>240000</v>
      </c>
    </row>
    <row r="413" spans="1:3" x14ac:dyDescent="0.5">
      <c r="A413" s="16">
        <v>44047</v>
      </c>
      <c r="B413" s="14">
        <v>126082.17398550623</v>
      </c>
      <c r="C413" s="14">
        <v>240000</v>
      </c>
    </row>
    <row r="414" spans="1:3" x14ac:dyDescent="0.5">
      <c r="A414" s="16">
        <v>44048</v>
      </c>
      <c r="B414" s="14">
        <v>129328.93377553648</v>
      </c>
      <c r="C414" s="14">
        <v>240000</v>
      </c>
    </row>
    <row r="415" spans="1:3" x14ac:dyDescent="0.5">
      <c r="A415" s="16">
        <v>44049</v>
      </c>
      <c r="B415" s="14">
        <v>121861.38625846687</v>
      </c>
      <c r="C415" s="14">
        <v>240000</v>
      </c>
    </row>
    <row r="416" spans="1:3" x14ac:dyDescent="0.5">
      <c r="A416" s="16">
        <v>44050</v>
      </c>
      <c r="B416" s="14">
        <v>113029.05371436436</v>
      </c>
      <c r="C416" s="14">
        <v>240000</v>
      </c>
    </row>
    <row r="417" spans="1:3" x14ac:dyDescent="0.5">
      <c r="A417" s="16">
        <v>44053</v>
      </c>
      <c r="B417" s="14">
        <v>111348.37805834867</v>
      </c>
      <c r="C417" s="14">
        <v>240000</v>
      </c>
    </row>
    <row r="418" spans="1:3" x14ac:dyDescent="0.5">
      <c r="A418" s="16">
        <v>44054</v>
      </c>
      <c r="B418" s="14">
        <v>110666.11974853207</v>
      </c>
      <c r="C418" s="14">
        <v>240000</v>
      </c>
    </row>
    <row r="419" spans="1:3" x14ac:dyDescent="0.5">
      <c r="A419" s="16">
        <v>44055</v>
      </c>
      <c r="B419" s="14">
        <v>109565.68826417107</v>
      </c>
      <c r="C419" s="14">
        <v>240000</v>
      </c>
    </row>
    <row r="420" spans="1:3" x14ac:dyDescent="0.5">
      <c r="A420" s="16">
        <v>44056</v>
      </c>
      <c r="B420" s="14">
        <v>109565.68826417107</v>
      </c>
      <c r="C420" s="14">
        <v>240000</v>
      </c>
    </row>
    <row r="421" spans="1:3" x14ac:dyDescent="0.5">
      <c r="A421" s="16">
        <v>44057</v>
      </c>
      <c r="B421" s="14">
        <v>109565.68826417107</v>
      </c>
      <c r="C421" s="14">
        <v>240000</v>
      </c>
    </row>
    <row r="422" spans="1:3" x14ac:dyDescent="0.5">
      <c r="A422" s="16">
        <v>44060</v>
      </c>
      <c r="B422" s="14">
        <v>109565.68826417107</v>
      </c>
      <c r="C422" s="14">
        <v>240000</v>
      </c>
    </row>
    <row r="423" spans="1:3" x14ac:dyDescent="0.5">
      <c r="A423" s="16">
        <v>44061</v>
      </c>
      <c r="B423" s="14">
        <v>109565.68826417107</v>
      </c>
      <c r="C423" s="14">
        <v>240000</v>
      </c>
    </row>
    <row r="424" spans="1:3" x14ac:dyDescent="0.5">
      <c r="A424" s="16">
        <v>44062</v>
      </c>
      <c r="B424" s="14">
        <v>109565.68826417107</v>
      </c>
      <c r="C424" s="14">
        <v>240000</v>
      </c>
    </row>
    <row r="425" spans="1:3" x14ac:dyDescent="0.5">
      <c r="A425" s="16">
        <v>44063</v>
      </c>
      <c r="B425" s="14">
        <v>109565.68826417107</v>
      </c>
      <c r="C425" s="14">
        <v>240000</v>
      </c>
    </row>
    <row r="426" spans="1:3" x14ac:dyDescent="0.5">
      <c r="A426" s="16">
        <v>44064</v>
      </c>
      <c r="B426" s="14">
        <v>109565.68826417107</v>
      </c>
      <c r="C426" s="14">
        <v>240000</v>
      </c>
    </row>
    <row r="427" spans="1:3" x14ac:dyDescent="0.5">
      <c r="A427" s="16">
        <v>44067</v>
      </c>
      <c r="B427" s="14">
        <v>109565.68826417107</v>
      </c>
      <c r="C427" s="14">
        <v>240000</v>
      </c>
    </row>
    <row r="428" spans="1:3" x14ac:dyDescent="0.5">
      <c r="A428" s="16">
        <v>44068</v>
      </c>
      <c r="B428" s="14">
        <v>109565.68826417107</v>
      </c>
      <c r="C428" s="14">
        <v>240000</v>
      </c>
    </row>
    <row r="429" spans="1:3" x14ac:dyDescent="0.5">
      <c r="A429" s="16">
        <v>44069</v>
      </c>
      <c r="B429" s="14">
        <v>109565.68826417107</v>
      </c>
      <c r="C429" s="14">
        <v>240000</v>
      </c>
    </row>
    <row r="430" spans="1:3" x14ac:dyDescent="0.5">
      <c r="A430" s="16">
        <v>44070</v>
      </c>
      <c r="B430" s="14">
        <v>109565.68826417107</v>
      </c>
      <c r="C430" s="14">
        <v>240000</v>
      </c>
    </row>
    <row r="431" spans="1:3" x14ac:dyDescent="0.5">
      <c r="A431" s="16">
        <v>44071</v>
      </c>
      <c r="B431" s="14">
        <v>109565.68826417107</v>
      </c>
      <c r="C431" s="14">
        <v>240000</v>
      </c>
    </row>
    <row r="432" spans="1:3" x14ac:dyDescent="0.5">
      <c r="A432" s="16">
        <v>44074</v>
      </c>
      <c r="B432" s="14">
        <v>106799.13081786473</v>
      </c>
      <c r="C432" s="14">
        <v>240000</v>
      </c>
    </row>
    <row r="433" spans="1:3" x14ac:dyDescent="0.5">
      <c r="A433" s="16">
        <v>44075</v>
      </c>
      <c r="B433" s="14">
        <v>107890.7441135713</v>
      </c>
      <c r="C433" s="14">
        <v>240000</v>
      </c>
    </row>
    <row r="434" spans="1:3" x14ac:dyDescent="0.5">
      <c r="A434" s="16">
        <v>44076</v>
      </c>
      <c r="B434" s="14">
        <v>108163.64743749797</v>
      </c>
      <c r="C434" s="14">
        <v>240000</v>
      </c>
    </row>
    <row r="435" spans="1:3" x14ac:dyDescent="0.5">
      <c r="A435" s="16">
        <v>44077</v>
      </c>
      <c r="B435" s="14">
        <v>107201.74906323297</v>
      </c>
      <c r="C435" s="14">
        <v>240000</v>
      </c>
    </row>
    <row r="436" spans="1:3" x14ac:dyDescent="0.5">
      <c r="A436" s="16">
        <v>44078</v>
      </c>
      <c r="B436" s="14">
        <v>104994.94461999933</v>
      </c>
      <c r="C436" s="14">
        <v>240000</v>
      </c>
    </row>
    <row r="437" spans="1:3" x14ac:dyDescent="0.5">
      <c r="A437" s="16">
        <v>44081</v>
      </c>
      <c r="B437" s="14">
        <v>104371.79547716823</v>
      </c>
      <c r="C437" s="14">
        <v>240000</v>
      </c>
    </row>
    <row r="438" spans="1:3" x14ac:dyDescent="0.5">
      <c r="A438" s="16">
        <v>44082</v>
      </c>
      <c r="B438" s="14">
        <v>104371.79547716823</v>
      </c>
      <c r="C438" s="14">
        <v>240000</v>
      </c>
    </row>
    <row r="439" spans="1:3" x14ac:dyDescent="0.5">
      <c r="A439" s="16">
        <v>44083</v>
      </c>
      <c r="B439" s="14">
        <v>103554.36161360343</v>
      </c>
      <c r="C439" s="14">
        <v>240000</v>
      </c>
    </row>
    <row r="440" spans="1:3" x14ac:dyDescent="0.5">
      <c r="A440" s="16">
        <v>44084</v>
      </c>
      <c r="B440" s="14">
        <v>103554.36161360343</v>
      </c>
      <c r="C440" s="14">
        <v>240000</v>
      </c>
    </row>
    <row r="441" spans="1:3" x14ac:dyDescent="0.5">
      <c r="A441" s="16">
        <v>44085</v>
      </c>
      <c r="B441" s="14">
        <v>103554.36161360343</v>
      </c>
      <c r="C441" s="14">
        <v>240000</v>
      </c>
    </row>
    <row r="442" spans="1:3" x14ac:dyDescent="0.5">
      <c r="A442" s="16">
        <v>44088</v>
      </c>
      <c r="B442" s="14">
        <v>103554.36161360343</v>
      </c>
      <c r="C442" s="14">
        <v>240000</v>
      </c>
    </row>
    <row r="443" spans="1:3" x14ac:dyDescent="0.5">
      <c r="A443" s="16">
        <v>44089</v>
      </c>
      <c r="B443" s="14">
        <v>103554.36161360343</v>
      </c>
      <c r="C443" s="14">
        <v>240000</v>
      </c>
    </row>
    <row r="444" spans="1:3" x14ac:dyDescent="0.5">
      <c r="A444" s="16">
        <v>44090</v>
      </c>
      <c r="B444" s="14">
        <v>103554.36161360343</v>
      </c>
      <c r="C444" s="14">
        <v>240000</v>
      </c>
    </row>
    <row r="445" spans="1:3" x14ac:dyDescent="0.5">
      <c r="A445" s="16">
        <v>44091</v>
      </c>
      <c r="B445" s="14">
        <v>103554.36161360343</v>
      </c>
      <c r="C445" s="14">
        <v>240000</v>
      </c>
    </row>
    <row r="446" spans="1:3" x14ac:dyDescent="0.5">
      <c r="A446" s="16">
        <v>44092</v>
      </c>
      <c r="B446" s="14">
        <v>103631.29480316874</v>
      </c>
      <c r="C446" s="14">
        <v>240000</v>
      </c>
    </row>
    <row r="447" spans="1:3" x14ac:dyDescent="0.5">
      <c r="A447" s="16">
        <v>44095</v>
      </c>
      <c r="B447" s="14">
        <v>103631.29480316874</v>
      </c>
      <c r="C447" s="14">
        <v>240000</v>
      </c>
    </row>
    <row r="448" spans="1:3" x14ac:dyDescent="0.5">
      <c r="A448" s="16">
        <v>44096</v>
      </c>
      <c r="B448" s="14">
        <v>103631.29480316874</v>
      </c>
      <c r="C448" s="14">
        <v>240000</v>
      </c>
    </row>
    <row r="449" spans="1:3" x14ac:dyDescent="0.5">
      <c r="A449" s="16">
        <v>44097</v>
      </c>
      <c r="B449" s="14">
        <v>103631.29480316874</v>
      </c>
      <c r="C449" s="14">
        <v>240000</v>
      </c>
    </row>
    <row r="450" spans="1:3" x14ac:dyDescent="0.5">
      <c r="A450" s="16">
        <v>44098</v>
      </c>
      <c r="B450" s="14">
        <v>102929.90836905938</v>
      </c>
      <c r="C450" s="14">
        <v>240000</v>
      </c>
    </row>
    <row r="451" spans="1:3" x14ac:dyDescent="0.5">
      <c r="A451" s="16">
        <v>44099</v>
      </c>
      <c r="B451" s="14">
        <v>103157.2450190176</v>
      </c>
      <c r="C451" s="14">
        <v>240000</v>
      </c>
    </row>
    <row r="452" spans="1:3" x14ac:dyDescent="0.5">
      <c r="A452" s="16">
        <v>44102</v>
      </c>
      <c r="B452" s="14">
        <v>101257.78562813054</v>
      </c>
      <c r="C452" s="14">
        <v>240000</v>
      </c>
    </row>
    <row r="453" spans="1:3" x14ac:dyDescent="0.5">
      <c r="A453" s="16">
        <v>44103</v>
      </c>
      <c r="B453" s="14">
        <v>102593.09615186322</v>
      </c>
      <c r="C453" s="14">
        <v>240000</v>
      </c>
    </row>
    <row r="454" spans="1:3" x14ac:dyDescent="0.5">
      <c r="A454" s="16">
        <v>44104</v>
      </c>
      <c r="B454" s="14">
        <v>103813.33637837449</v>
      </c>
      <c r="C454" s="14">
        <v>240000</v>
      </c>
    </row>
    <row r="455" spans="1:3" x14ac:dyDescent="0.5">
      <c r="A455" s="16">
        <v>44113</v>
      </c>
      <c r="B455" s="14">
        <v>113940.84540319117</v>
      </c>
      <c r="C455" s="14">
        <v>240000</v>
      </c>
    </row>
    <row r="456" spans="1:3" x14ac:dyDescent="0.5">
      <c r="A456" s="16">
        <v>44116</v>
      </c>
      <c r="B456" s="14">
        <v>120923.94128454989</v>
      </c>
      <c r="C456" s="14">
        <v>240000</v>
      </c>
    </row>
    <row r="457" spans="1:3" x14ac:dyDescent="0.5">
      <c r="A457" s="16">
        <v>44117</v>
      </c>
      <c r="B457" s="14">
        <v>121854.65217127226</v>
      </c>
      <c r="C457" s="14">
        <v>240000</v>
      </c>
    </row>
    <row r="458" spans="1:3" x14ac:dyDescent="0.5">
      <c r="A458" s="16">
        <v>44118</v>
      </c>
      <c r="B458" s="14">
        <v>120472.46690028551</v>
      </c>
      <c r="C458" s="14">
        <v>240000</v>
      </c>
    </row>
    <row r="459" spans="1:3" x14ac:dyDescent="0.5">
      <c r="A459" s="16">
        <v>44119</v>
      </c>
      <c r="B459" s="14">
        <v>118488.16619061085</v>
      </c>
      <c r="C459" s="14">
        <v>240000</v>
      </c>
    </row>
    <row r="460" spans="1:3" x14ac:dyDescent="0.5">
      <c r="A460" s="16">
        <v>44120</v>
      </c>
      <c r="B460" s="14">
        <v>119021.96989470726</v>
      </c>
      <c r="C460" s="14">
        <v>240000</v>
      </c>
    </row>
    <row r="461" spans="1:3" x14ac:dyDescent="0.5">
      <c r="A461" s="16">
        <v>44123</v>
      </c>
      <c r="B461" s="14">
        <v>113809.36883495149</v>
      </c>
      <c r="C461" s="14">
        <v>240000</v>
      </c>
    </row>
    <row r="462" spans="1:3" x14ac:dyDescent="0.5">
      <c r="A462" s="16">
        <v>44124</v>
      </c>
      <c r="B462" s="14">
        <v>118311.36272722937</v>
      </c>
      <c r="C462" s="14">
        <v>240000</v>
      </c>
    </row>
    <row r="463" spans="1:3" x14ac:dyDescent="0.5">
      <c r="A463" s="16">
        <v>44125</v>
      </c>
      <c r="B463" s="14">
        <v>116252.66632404487</v>
      </c>
      <c r="C463" s="14">
        <v>240000</v>
      </c>
    </row>
    <row r="464" spans="1:3" x14ac:dyDescent="0.5">
      <c r="A464" s="16">
        <v>44126</v>
      </c>
      <c r="B464" s="14">
        <v>109695.18092015019</v>
      </c>
      <c r="C464" s="14">
        <v>240000</v>
      </c>
    </row>
    <row r="465" spans="1:3" x14ac:dyDescent="0.5">
      <c r="A465" s="16">
        <v>44127</v>
      </c>
      <c r="B465" s="14">
        <v>107572.49466517079</v>
      </c>
      <c r="C465" s="14">
        <v>240000</v>
      </c>
    </row>
    <row r="466" spans="1:3" x14ac:dyDescent="0.5">
      <c r="A466" s="16">
        <v>44130</v>
      </c>
      <c r="B466" s="14">
        <v>107201.33886281436</v>
      </c>
      <c r="C466" s="14">
        <v>240000</v>
      </c>
    </row>
    <row r="467" spans="1:3" x14ac:dyDescent="0.5">
      <c r="A467" s="16">
        <v>44131</v>
      </c>
      <c r="B467" s="14">
        <v>107201.33886281436</v>
      </c>
      <c r="C467" s="14">
        <v>240000</v>
      </c>
    </row>
    <row r="468" spans="1:3" x14ac:dyDescent="0.5">
      <c r="A468" s="16">
        <v>44132</v>
      </c>
      <c r="B468" s="14">
        <v>107201.33886281436</v>
      </c>
      <c r="C468" s="14">
        <v>240000</v>
      </c>
    </row>
    <row r="469" spans="1:3" x14ac:dyDescent="0.5">
      <c r="A469" s="16">
        <v>44133</v>
      </c>
      <c r="B469" s="14">
        <v>107201.33886281436</v>
      </c>
      <c r="C469" s="14">
        <v>240000</v>
      </c>
    </row>
    <row r="470" spans="1:3" x14ac:dyDescent="0.5">
      <c r="A470" s="16">
        <v>44134</v>
      </c>
      <c r="B470" s="14">
        <v>105466.7427872477</v>
      </c>
      <c r="C470" s="14">
        <v>240000</v>
      </c>
    </row>
    <row r="471" spans="1:3" x14ac:dyDescent="0.5">
      <c r="A471" s="16">
        <v>44137</v>
      </c>
      <c r="B471" s="14">
        <v>109860.14940989384</v>
      </c>
      <c r="C471" s="14">
        <v>240000</v>
      </c>
    </row>
    <row r="472" spans="1:3" x14ac:dyDescent="0.5">
      <c r="A472" s="16">
        <v>44138</v>
      </c>
      <c r="B472" s="14">
        <v>110863.48921034741</v>
      </c>
      <c r="C472" s="14">
        <v>240000</v>
      </c>
    </row>
    <row r="473" spans="1:3" x14ac:dyDescent="0.5">
      <c r="A473" s="16">
        <v>44139</v>
      </c>
      <c r="B473" s="14">
        <v>115300.54032968462</v>
      </c>
      <c r="C473" s="14">
        <v>240000</v>
      </c>
    </row>
    <row r="474" spans="1:3" x14ac:dyDescent="0.5">
      <c r="A474" s="16">
        <v>44140</v>
      </c>
      <c r="B474" s="14">
        <v>118578.85235389171</v>
      </c>
      <c r="C474" s="14">
        <v>240000</v>
      </c>
    </row>
    <row r="475" spans="1:3" x14ac:dyDescent="0.5">
      <c r="A475" s="16">
        <v>44141</v>
      </c>
      <c r="B475" s="14">
        <v>120831.60560694558</v>
      </c>
      <c r="C475" s="14">
        <v>240000</v>
      </c>
    </row>
    <row r="476" spans="1:3" x14ac:dyDescent="0.5">
      <c r="A476" s="16">
        <v>44144</v>
      </c>
      <c r="B476" s="14">
        <v>122705.31898800354</v>
      </c>
      <c r="C476" s="14">
        <v>240000</v>
      </c>
    </row>
    <row r="477" spans="1:3" x14ac:dyDescent="0.5">
      <c r="A477" s="16">
        <v>44145</v>
      </c>
      <c r="B477" s="14">
        <v>116997.63857230841</v>
      </c>
      <c r="C477" s="14">
        <v>240000</v>
      </c>
    </row>
    <row r="478" spans="1:3" x14ac:dyDescent="0.5">
      <c r="A478" s="16">
        <v>44146</v>
      </c>
      <c r="B478" s="14">
        <v>112234.3374443099</v>
      </c>
      <c r="C478" s="14">
        <v>240000</v>
      </c>
    </row>
    <row r="479" spans="1:3" x14ac:dyDescent="0.5">
      <c r="A479" s="16">
        <v>44147</v>
      </c>
      <c r="B479" s="14">
        <v>115531.60149790696</v>
      </c>
      <c r="C479" s="14">
        <v>240000</v>
      </c>
    </row>
    <row r="480" spans="1:3" x14ac:dyDescent="0.5">
      <c r="A480" s="16">
        <v>44148</v>
      </c>
      <c r="B480" s="14">
        <v>114511.51563797018</v>
      </c>
      <c r="C480" s="14">
        <v>240000</v>
      </c>
    </row>
    <row r="481" spans="1:3" x14ac:dyDescent="0.5">
      <c r="A481" s="16">
        <v>44151</v>
      </c>
      <c r="B481" s="14">
        <v>114467.36328960216</v>
      </c>
      <c r="C481" s="14">
        <v>240000</v>
      </c>
    </row>
    <row r="482" spans="1:3" x14ac:dyDescent="0.5">
      <c r="A482" s="16">
        <v>44152</v>
      </c>
      <c r="B482" s="14">
        <v>114335.18740332022</v>
      </c>
      <c r="C482" s="14">
        <v>240000</v>
      </c>
    </row>
    <row r="483" spans="1:3" x14ac:dyDescent="0.5">
      <c r="A483" s="16">
        <v>44153</v>
      </c>
      <c r="B483" s="14">
        <v>110663.84466083301</v>
      </c>
      <c r="C483" s="14">
        <v>240000</v>
      </c>
    </row>
    <row r="484" spans="1:3" x14ac:dyDescent="0.5">
      <c r="A484" s="16">
        <v>44154</v>
      </c>
      <c r="B484" s="14">
        <v>116328.67426276836</v>
      </c>
      <c r="C484" s="14">
        <v>240000</v>
      </c>
    </row>
    <row r="485" spans="1:3" x14ac:dyDescent="0.5">
      <c r="A485" s="16">
        <v>44155</v>
      </c>
      <c r="B485" s="14">
        <v>117686.24234624038</v>
      </c>
      <c r="C485" s="14">
        <v>240000</v>
      </c>
    </row>
    <row r="486" spans="1:3" x14ac:dyDescent="0.5">
      <c r="A486" s="16">
        <v>44158</v>
      </c>
      <c r="B486" s="14">
        <v>120327.83361328254</v>
      </c>
      <c r="C486" s="14">
        <v>240000</v>
      </c>
    </row>
    <row r="487" spans="1:3" x14ac:dyDescent="0.5">
      <c r="A487" s="16">
        <v>44159</v>
      </c>
      <c r="B487" s="14">
        <v>115976.71548387897</v>
      </c>
      <c r="C487" s="14">
        <v>240000</v>
      </c>
    </row>
    <row r="488" spans="1:3" x14ac:dyDescent="0.5">
      <c r="A488" s="16">
        <v>44160</v>
      </c>
      <c r="B488" s="14">
        <v>110834.90377088997</v>
      </c>
      <c r="C488" s="14">
        <v>240000</v>
      </c>
    </row>
    <row r="489" spans="1:3" x14ac:dyDescent="0.5">
      <c r="A489" s="16">
        <v>44161</v>
      </c>
      <c r="B489" s="14">
        <v>105717.46332113701</v>
      </c>
      <c r="C489" s="14">
        <v>240000</v>
      </c>
    </row>
    <row r="490" spans="1:3" x14ac:dyDescent="0.5">
      <c r="A490" s="16">
        <v>44162</v>
      </c>
      <c r="B490" s="14">
        <v>105452.17435249925</v>
      </c>
      <c r="C490" s="14">
        <v>240000</v>
      </c>
    </row>
    <row r="491" spans="1:3" x14ac:dyDescent="0.5">
      <c r="A491" s="16">
        <v>44165</v>
      </c>
      <c r="B491" s="14">
        <v>104740.8779376325</v>
      </c>
      <c r="C491" s="14">
        <v>240000</v>
      </c>
    </row>
    <row r="492" spans="1:3" x14ac:dyDescent="0.5">
      <c r="A492" s="16">
        <v>44166</v>
      </c>
      <c r="B492" s="14">
        <v>105055.77581844589</v>
      </c>
      <c r="C492" s="14">
        <v>240000</v>
      </c>
    </row>
    <row r="493" spans="1:3" x14ac:dyDescent="0.5">
      <c r="A493" s="16">
        <v>44167</v>
      </c>
      <c r="B493" s="14">
        <v>105609.09638044675</v>
      </c>
      <c r="C493" s="14">
        <v>240000</v>
      </c>
    </row>
    <row r="494" spans="1:3" x14ac:dyDescent="0.5">
      <c r="A494" s="16">
        <v>44168</v>
      </c>
      <c r="B494" s="14">
        <v>104720.81706766802</v>
      </c>
      <c r="C494" s="14">
        <v>240000</v>
      </c>
    </row>
    <row r="495" spans="1:3" x14ac:dyDescent="0.5">
      <c r="A495" s="16">
        <v>44169</v>
      </c>
      <c r="B495" s="14">
        <v>105100.34910020564</v>
      </c>
      <c r="C495" s="14">
        <v>240000</v>
      </c>
    </row>
    <row r="496" spans="1:3" x14ac:dyDescent="0.5">
      <c r="A496" s="16">
        <v>44172</v>
      </c>
      <c r="B496" s="14">
        <v>104195.35804228007</v>
      </c>
      <c r="C496" s="14">
        <v>240000</v>
      </c>
    </row>
    <row r="497" spans="1:3" x14ac:dyDescent="0.5">
      <c r="A497" s="16">
        <v>44173</v>
      </c>
      <c r="B497" s="14">
        <v>105388.85560270015</v>
      </c>
      <c r="C497" s="14">
        <v>240000</v>
      </c>
    </row>
    <row r="498" spans="1:3" x14ac:dyDescent="0.5">
      <c r="A498" s="16">
        <v>44174</v>
      </c>
      <c r="B498" s="14">
        <v>98177.827419919893</v>
      </c>
      <c r="C498" s="14">
        <v>240000</v>
      </c>
    </row>
    <row r="499" spans="1:3" x14ac:dyDescent="0.5">
      <c r="A499" s="16">
        <v>44175</v>
      </c>
      <c r="B499" s="14">
        <v>98094.186547358462</v>
      </c>
      <c r="C499" s="14">
        <v>240000</v>
      </c>
    </row>
    <row r="500" spans="1:3" x14ac:dyDescent="0.5">
      <c r="A500" s="16">
        <v>44176</v>
      </c>
      <c r="B500" s="14">
        <v>93934.05729681754</v>
      </c>
      <c r="C500" s="14">
        <v>240000</v>
      </c>
    </row>
    <row r="501" spans="1:3" x14ac:dyDescent="0.5">
      <c r="A501" s="16">
        <v>44179</v>
      </c>
      <c r="B501" s="14">
        <v>98201.413827663288</v>
      </c>
      <c r="C501" s="14">
        <v>240000</v>
      </c>
    </row>
    <row r="502" spans="1:3" x14ac:dyDescent="0.5">
      <c r="A502" s="16">
        <v>44180</v>
      </c>
      <c r="B502" s="14">
        <v>98523.668984975666</v>
      </c>
      <c r="C502" s="14">
        <v>240000</v>
      </c>
    </row>
    <row r="503" spans="1:3" x14ac:dyDescent="0.5">
      <c r="A503" s="16">
        <v>44181</v>
      </c>
      <c r="B503" s="14">
        <v>95419.001531586924</v>
      </c>
      <c r="C503" s="14">
        <v>240000</v>
      </c>
    </row>
    <row r="504" spans="1:3" x14ac:dyDescent="0.5">
      <c r="A504" s="16">
        <v>44182</v>
      </c>
      <c r="B504" s="14">
        <v>99180.564645184262</v>
      </c>
      <c r="C504" s="14">
        <v>240000</v>
      </c>
    </row>
    <row r="505" spans="1:3" x14ac:dyDescent="0.5">
      <c r="A505" s="16">
        <v>44183</v>
      </c>
      <c r="B505" s="14">
        <v>98943.358836240426</v>
      </c>
      <c r="C505" s="14">
        <v>240000</v>
      </c>
    </row>
    <row r="506" spans="1:3" x14ac:dyDescent="0.5">
      <c r="A506" s="16">
        <v>44186</v>
      </c>
      <c r="B506" s="14">
        <v>108434.91129492247</v>
      </c>
      <c r="C506" s="14">
        <v>240000</v>
      </c>
    </row>
    <row r="507" spans="1:3" x14ac:dyDescent="0.5">
      <c r="A507" s="16">
        <v>44187</v>
      </c>
      <c r="B507" s="14">
        <v>97512.63493016985</v>
      </c>
      <c r="C507" s="14">
        <v>240000</v>
      </c>
    </row>
    <row r="508" spans="1:3" x14ac:dyDescent="0.5">
      <c r="A508" s="16">
        <v>44188</v>
      </c>
      <c r="B508" s="14">
        <v>105277.90604429034</v>
      </c>
      <c r="C508" s="14">
        <v>240000</v>
      </c>
    </row>
    <row r="509" spans="1:3" x14ac:dyDescent="0.5">
      <c r="A509" s="16">
        <v>44189</v>
      </c>
      <c r="B509" s="14">
        <v>103414.95291607006</v>
      </c>
      <c r="C509" s="14">
        <v>240000</v>
      </c>
    </row>
    <row r="510" spans="1:3" x14ac:dyDescent="0.5">
      <c r="A510" s="16">
        <v>44190</v>
      </c>
      <c r="B510" s="14">
        <v>108014.25108426192</v>
      </c>
      <c r="C510" s="14">
        <v>240000</v>
      </c>
    </row>
    <row r="511" spans="1:3" x14ac:dyDescent="0.5">
      <c r="A511" s="16">
        <v>44193</v>
      </c>
      <c r="B511" s="14">
        <v>106304.75849749777</v>
      </c>
      <c r="C511" s="14">
        <v>240000</v>
      </c>
    </row>
    <row r="512" spans="1:3" x14ac:dyDescent="0.5">
      <c r="A512" s="16">
        <v>44194</v>
      </c>
      <c r="B512" s="14">
        <v>102129.25238775113</v>
      </c>
      <c r="C512" s="14">
        <v>240000</v>
      </c>
    </row>
    <row r="513" spans="1:3" x14ac:dyDescent="0.5">
      <c r="A513" s="16">
        <v>44195</v>
      </c>
      <c r="B513" s="14">
        <v>111385.19747783412</v>
      </c>
      <c r="C513" s="14">
        <v>240000</v>
      </c>
    </row>
    <row r="514" spans="1:3" x14ac:dyDescent="0.5">
      <c r="A514" s="16">
        <v>44196</v>
      </c>
      <c r="B514" s="14">
        <v>123545.54632508516</v>
      </c>
      <c r="C514" s="14">
        <v>240000</v>
      </c>
    </row>
    <row r="515" spans="1:3" x14ac:dyDescent="0.5">
      <c r="A515" s="17" t="s">
        <v>24</v>
      </c>
      <c r="B515" s="14">
        <v>0</v>
      </c>
      <c r="C515" s="14"/>
    </row>
    <row r="516" spans="1:3" x14ac:dyDescent="0.5">
      <c r="A516" s="17" t="s">
        <v>23</v>
      </c>
      <c r="B516" s="14">
        <v>26166916.168022648</v>
      </c>
      <c r="C516" s="14">
        <v>69730000</v>
      </c>
    </row>
  </sheetData>
  <phoneticPr fontId="2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A3DA7-F16D-4DB6-8C11-2FC655CFA17F}">
  <dimension ref="A1:O513"/>
  <sheetViews>
    <sheetView workbookViewId="0">
      <pane ySplit="1" topLeftCell="A377" activePane="bottomLeft" state="frozen"/>
      <selection pane="bottomLeft" activeCell="S393" sqref="S393"/>
    </sheetView>
  </sheetViews>
  <sheetFormatPr defaultRowHeight="14.1" x14ac:dyDescent="0.5"/>
  <cols>
    <col min="1" max="1" width="10.34765625" bestFit="1" customWidth="1"/>
    <col min="3" max="3" width="10.84765625" style="6" bestFit="1" customWidth="1"/>
    <col min="4" max="4" width="10.94921875" style="5" customWidth="1"/>
    <col min="6" max="6" width="8.19921875" style="4" bestFit="1" customWidth="1"/>
  </cols>
  <sheetData>
    <row r="1" spans="1:15" x14ac:dyDescent="0.5">
      <c r="A1" s="7" t="s">
        <v>12</v>
      </c>
      <c r="B1" s="7" t="s">
        <v>8</v>
      </c>
      <c r="C1" s="8" t="s">
        <v>4</v>
      </c>
      <c r="D1" s="9" t="s">
        <v>9</v>
      </c>
      <c r="E1" s="7" t="s">
        <v>10</v>
      </c>
      <c r="F1" s="10" t="s">
        <v>11</v>
      </c>
    </row>
    <row r="2" spans="1:15" x14ac:dyDescent="0.5">
      <c r="A2" s="1">
        <v>43431</v>
      </c>
      <c r="B2" s="2">
        <v>37980.533035444794</v>
      </c>
      <c r="C2" s="6">
        <f>VLOOKUP(A2,fund_value_simple[],8,FALSE)</f>
        <v>0.79097449557585398</v>
      </c>
      <c r="D2" s="5">
        <f>B2*C2</f>
        <v>30041.632959413004</v>
      </c>
      <c r="E2">
        <v>30000</v>
      </c>
      <c r="F2" s="4">
        <f>(D2-E2)/E2</f>
        <v>1.3877653137667949E-3</v>
      </c>
    </row>
    <row r="3" spans="1:15" x14ac:dyDescent="0.5">
      <c r="A3" s="3">
        <v>43432</v>
      </c>
      <c r="B3" s="2">
        <v>37980.533035444794</v>
      </c>
      <c r="C3" s="6">
        <f>VLOOKUP(A3,fund_value_simple[],8,FALSE)</f>
        <v>0.79955230544798006</v>
      </c>
      <c r="D3" s="5">
        <f t="shared" ref="D3:D66" si="0">B3*C3</f>
        <v>30367.422750633054</v>
      </c>
      <c r="E3">
        <v>30000</v>
      </c>
      <c r="F3" s="4">
        <f t="shared" ref="F3:F66" si="1">(D3-E3)/E3</f>
        <v>1.2247425021101785E-2</v>
      </c>
    </row>
    <row r="4" spans="1:15" x14ac:dyDescent="0.5">
      <c r="A4" s="3">
        <v>43433</v>
      </c>
      <c r="B4" s="2">
        <v>37980.533035444794</v>
      </c>
      <c r="C4" s="6">
        <f>VLOOKUP(A4,fund_value_simple[],8,FALSE)</f>
        <v>0.79306526747218775</v>
      </c>
      <c r="D4" s="5">
        <f t="shared" si="0"/>
        <v>30121.041590491288</v>
      </c>
      <c r="E4">
        <v>30000</v>
      </c>
      <c r="F4" s="4">
        <f t="shared" si="1"/>
        <v>4.0347196830429312E-3</v>
      </c>
    </row>
    <row r="5" spans="1:15" x14ac:dyDescent="0.5">
      <c r="A5" s="3">
        <v>43434</v>
      </c>
      <c r="B5" s="2">
        <v>37980.533035444794</v>
      </c>
      <c r="C5" s="6">
        <f>VLOOKUP(A5,fund_value_simple[],8,FALSE)</f>
        <v>0.79836044682876917</v>
      </c>
      <c r="D5" s="5">
        <f t="shared" si="0"/>
        <v>30322.155324972533</v>
      </c>
      <c r="E5">
        <v>30000</v>
      </c>
      <c r="F5" s="4">
        <f t="shared" si="1"/>
        <v>1.0738510832417766E-2</v>
      </c>
    </row>
    <row r="6" spans="1:15" x14ac:dyDescent="0.5">
      <c r="A6" s="3">
        <v>43437</v>
      </c>
      <c r="B6" s="2">
        <v>37980.533035444794</v>
      </c>
      <c r="C6" s="6">
        <f>VLOOKUP(A6,fund_value_simple[],8,FALSE)</f>
        <v>0.81486720632933163</v>
      </c>
      <c r="D6" s="5">
        <f t="shared" si="0"/>
        <v>30949.090849491789</v>
      </c>
      <c r="E6">
        <v>30000</v>
      </c>
      <c r="F6" s="4">
        <f t="shared" si="1"/>
        <v>3.1636361649726316E-2</v>
      </c>
    </row>
    <row r="7" spans="1:15" x14ac:dyDescent="0.5">
      <c r="A7" s="3">
        <v>43438</v>
      </c>
      <c r="B7" s="2">
        <v>37980.533035444794</v>
      </c>
      <c r="C7" s="6">
        <f>VLOOKUP(A7,fund_value_simple[],8,FALSE)</f>
        <v>0.81489732220562106</v>
      </c>
      <c r="D7" s="5">
        <f t="shared" si="0"/>
        <v>30950.234666526092</v>
      </c>
      <c r="E7">
        <v>30000</v>
      </c>
      <c r="F7" s="4">
        <f t="shared" si="1"/>
        <v>3.1674488884203066E-2</v>
      </c>
    </row>
    <row r="8" spans="1:15" x14ac:dyDescent="0.5">
      <c r="A8" s="3">
        <v>43439</v>
      </c>
      <c r="B8" s="2">
        <v>37980.533035444794</v>
      </c>
      <c r="C8" s="6">
        <f>VLOOKUP(A8,fund_value_simple[],8,FALSE)</f>
        <v>0.81164324310525959</v>
      </c>
      <c r="D8" s="5">
        <f t="shared" si="0"/>
        <v>30826.643007754861</v>
      </c>
      <c r="E8">
        <v>30000</v>
      </c>
      <c r="F8" s="4">
        <f t="shared" si="1"/>
        <v>2.7554766925162039E-2</v>
      </c>
    </row>
    <row r="9" spans="1:15" x14ac:dyDescent="0.5">
      <c r="A9" s="3">
        <v>43440</v>
      </c>
      <c r="B9" s="2">
        <v>37980.533035444794</v>
      </c>
      <c r="C9" s="6">
        <f>VLOOKUP(A9,fund_value_simple[],8,FALSE)</f>
        <v>0.80023727866886529</v>
      </c>
      <c r="D9" s="5">
        <f t="shared" si="0"/>
        <v>30393.438398677281</v>
      </c>
      <c r="E9">
        <v>30000</v>
      </c>
      <c r="F9" s="4">
        <f t="shared" si="1"/>
        <v>1.3114613289242698E-2</v>
      </c>
    </row>
    <row r="10" spans="1:15" x14ac:dyDescent="0.5">
      <c r="A10" s="3">
        <v>43441</v>
      </c>
      <c r="B10" s="2">
        <v>37980.533035444794</v>
      </c>
      <c r="C10" s="6">
        <f>VLOOKUP(A10,fund_value_simple[],8,FALSE)</f>
        <v>0.7992126870162316</v>
      </c>
      <c r="D10" s="5">
        <f t="shared" si="0"/>
        <v>30354.523861566584</v>
      </c>
      <c r="E10">
        <v>30000</v>
      </c>
      <c r="F10" s="4">
        <f t="shared" si="1"/>
        <v>1.1817462052219466E-2</v>
      </c>
    </row>
    <row r="11" spans="1:15" x14ac:dyDescent="0.5">
      <c r="A11" s="3">
        <v>43444</v>
      </c>
      <c r="B11" s="2">
        <v>37980.533035444794</v>
      </c>
      <c r="C11" s="6">
        <f>VLOOKUP(A11,fund_value_simple[],8,FALSE)</f>
        <v>0.79206831463242566</v>
      </c>
      <c r="D11" s="5">
        <f t="shared" si="0"/>
        <v>30083.176790225923</v>
      </c>
      <c r="E11">
        <v>30000</v>
      </c>
      <c r="F11" s="4">
        <f t="shared" si="1"/>
        <v>2.7725596741974491E-3</v>
      </c>
    </row>
    <row r="12" spans="1:15" x14ac:dyDescent="0.5">
      <c r="A12" s="3">
        <v>43445</v>
      </c>
      <c r="B12" s="2">
        <v>37980.533035444794</v>
      </c>
      <c r="C12" s="6">
        <f>VLOOKUP(A12,fund_value_simple[],8,FALSE)</f>
        <v>0.79505904277995321</v>
      </c>
      <c r="D12" s="5">
        <f t="shared" si="0"/>
        <v>30196.766239433127</v>
      </c>
      <c r="E12">
        <v>30000</v>
      </c>
      <c r="F12" s="4">
        <f t="shared" si="1"/>
        <v>6.5588746477709117E-3</v>
      </c>
    </row>
    <row r="13" spans="1:15" x14ac:dyDescent="0.5">
      <c r="A13" s="3">
        <v>43446</v>
      </c>
      <c r="B13" s="2">
        <v>37980.533035444794</v>
      </c>
      <c r="C13" s="6">
        <f>VLOOKUP(A13,fund_value_simple[],8,FALSE)</f>
        <v>0.79629353296430094</v>
      </c>
      <c r="D13" s="5">
        <f t="shared" si="0"/>
        <v>30243.65283466168</v>
      </c>
      <c r="E13">
        <v>30000</v>
      </c>
      <c r="F13" s="4">
        <f t="shared" si="1"/>
        <v>8.1217611553893228E-3</v>
      </c>
    </row>
    <row r="14" spans="1:15" x14ac:dyDescent="0.5">
      <c r="A14" s="3">
        <v>43447</v>
      </c>
      <c r="B14" s="2">
        <v>37980.533035444794</v>
      </c>
      <c r="C14" s="6">
        <f>VLOOKUP(A14,fund_value_simple[],8,FALSE)</f>
        <v>0.80606906818478519</v>
      </c>
      <c r="D14" s="5">
        <f t="shared" si="0"/>
        <v>30614.932873042435</v>
      </c>
      <c r="E14">
        <v>30000</v>
      </c>
      <c r="F14" s="4">
        <f t="shared" si="1"/>
        <v>2.0497762434747831E-2</v>
      </c>
    </row>
    <row r="15" spans="1:15" x14ac:dyDescent="0.5">
      <c r="A15" s="3">
        <v>43448</v>
      </c>
      <c r="B15" s="2">
        <v>37980.533035444794</v>
      </c>
      <c r="C15" s="6">
        <f>VLOOKUP(A15,fund_value_simple[],8,FALSE)</f>
        <v>0.79585412980700221</v>
      </c>
      <c r="D15" s="5">
        <f t="shared" si="0"/>
        <v>30226.964068530018</v>
      </c>
      <c r="E15">
        <v>30000</v>
      </c>
      <c r="F15" s="4">
        <f t="shared" si="1"/>
        <v>7.5654689510006087E-3</v>
      </c>
    </row>
    <row r="16" spans="1:15" x14ac:dyDescent="0.5">
      <c r="A16" s="3">
        <v>43451</v>
      </c>
      <c r="B16" s="2">
        <v>37980.533035444794</v>
      </c>
      <c r="C16" s="6">
        <f>VLOOKUP(A16,fund_value_simple[],8,FALSE)</f>
        <v>0.7947671424394972</v>
      </c>
      <c r="D16" s="5">
        <f t="shared" si="0"/>
        <v>30185.679708909382</v>
      </c>
      <c r="E16">
        <v>30000</v>
      </c>
      <c r="F16" s="4">
        <f t="shared" si="1"/>
        <v>6.1893236303127196E-3</v>
      </c>
      <c r="O16">
        <v>3</v>
      </c>
    </row>
    <row r="17" spans="1:6" x14ac:dyDescent="0.5">
      <c r="A17" s="3">
        <v>43452</v>
      </c>
      <c r="B17" s="2">
        <v>37980.533035444794</v>
      </c>
      <c r="C17" s="6">
        <f>VLOOKUP(A17,fund_value_simple[],8,FALSE)</f>
        <v>0.78735308532206105</v>
      </c>
      <c r="D17" s="5">
        <f t="shared" si="0"/>
        <v>29904.089867633924</v>
      </c>
      <c r="E17">
        <v>30000</v>
      </c>
      <c r="F17" s="4">
        <f t="shared" si="1"/>
        <v>-3.197004412202538E-3</v>
      </c>
    </row>
    <row r="18" spans="1:6" x14ac:dyDescent="0.5">
      <c r="A18" s="3">
        <v>43453</v>
      </c>
      <c r="B18" s="2">
        <v>37980.533035444794</v>
      </c>
      <c r="C18" s="6">
        <f>VLOOKUP(A18,fund_value_simple[],8,FALSE)</f>
        <v>0.77966849773498692</v>
      </c>
      <c r="D18" s="5">
        <f t="shared" si="0"/>
        <v>29612.225134919285</v>
      </c>
      <c r="E18">
        <v>30000</v>
      </c>
      <c r="F18" s="4">
        <f t="shared" si="1"/>
        <v>-1.2925828836023841E-2</v>
      </c>
    </row>
    <row r="19" spans="1:6" x14ac:dyDescent="0.5">
      <c r="A19" s="3">
        <v>43454</v>
      </c>
      <c r="B19" s="2">
        <v>37980.533035444794</v>
      </c>
      <c r="C19" s="6">
        <f>VLOOKUP(A19,fund_value_simple[],8,FALSE)</f>
        <v>0.77522762695504466</v>
      </c>
      <c r="D19" s="5">
        <f t="shared" si="0"/>
        <v>29443.558495555546</v>
      </c>
      <c r="E19">
        <v>30000</v>
      </c>
      <c r="F19" s="4">
        <f t="shared" si="1"/>
        <v>-1.8548050148148469E-2</v>
      </c>
    </row>
    <row r="20" spans="1:6" x14ac:dyDescent="0.5">
      <c r="A20" s="3">
        <v>43455</v>
      </c>
      <c r="B20" s="2">
        <v>37980.533035444794</v>
      </c>
      <c r="C20" s="6">
        <f>VLOOKUP(A20,fund_value_simple[],8,FALSE)</f>
        <v>0.76716016726011038</v>
      </c>
      <c r="D20" s="5">
        <f t="shared" si="0"/>
        <v>29137.152076099977</v>
      </c>
      <c r="E20">
        <v>30000</v>
      </c>
      <c r="F20" s="4">
        <f t="shared" si="1"/>
        <v>-2.8761597463334086E-2</v>
      </c>
    </row>
    <row r="21" spans="1:6" x14ac:dyDescent="0.5">
      <c r="A21" s="3">
        <v>43458</v>
      </c>
      <c r="B21" s="2">
        <v>37980.533035444794</v>
      </c>
      <c r="C21" s="6">
        <f>VLOOKUP(A21,fund_value_simple[],8,FALSE)</f>
        <v>0.76927089324732278</v>
      </c>
      <c r="D21" s="5">
        <f t="shared" si="0"/>
        <v>29217.318574186069</v>
      </c>
      <c r="E21">
        <v>30000</v>
      </c>
      <c r="F21" s="4">
        <f t="shared" si="1"/>
        <v>-2.6089380860464372E-2</v>
      </c>
    </row>
    <row r="22" spans="1:6" x14ac:dyDescent="0.5">
      <c r="A22" s="3">
        <v>43459</v>
      </c>
      <c r="B22" s="2">
        <v>37980.533035444794</v>
      </c>
      <c r="C22" s="6">
        <f>VLOOKUP(A22,fund_value_simple[],8,FALSE)</f>
        <v>0.7643755323423076</v>
      </c>
      <c r="D22" s="5">
        <f t="shared" si="0"/>
        <v>29031.390157612714</v>
      </c>
      <c r="E22">
        <v>30000</v>
      </c>
      <c r="F22" s="4">
        <f t="shared" si="1"/>
        <v>-3.2286994746242879E-2</v>
      </c>
    </row>
    <row r="23" spans="1:6" x14ac:dyDescent="0.5">
      <c r="A23" s="3">
        <v>43460</v>
      </c>
      <c r="B23" s="2">
        <v>37980.533035444794</v>
      </c>
      <c r="C23" s="6">
        <f>VLOOKUP(A23,fund_value_simple[],8,FALSE)</f>
        <v>0.7606459393508902</v>
      </c>
      <c r="D23" s="5">
        <f t="shared" si="0"/>
        <v>28889.738227793423</v>
      </c>
      <c r="E23">
        <v>30000</v>
      </c>
      <c r="F23" s="4">
        <f t="shared" si="1"/>
        <v>-3.7008725740219232E-2</v>
      </c>
    </row>
    <row r="24" spans="1:6" x14ac:dyDescent="0.5">
      <c r="A24" s="3">
        <v>43461</v>
      </c>
      <c r="B24" s="2">
        <v>37980.533035444794</v>
      </c>
      <c r="C24" s="6">
        <f>VLOOKUP(A24,fund_value_simple[],8,FALSE)</f>
        <v>0.75952554887229817</v>
      </c>
      <c r="D24" s="5">
        <f t="shared" si="0"/>
        <v>28847.18520020866</v>
      </c>
      <c r="E24">
        <v>30000</v>
      </c>
      <c r="F24" s="4">
        <f t="shared" si="1"/>
        <v>-3.842715999304467E-2</v>
      </c>
    </row>
    <row r="25" spans="1:6" x14ac:dyDescent="0.5">
      <c r="A25" s="3">
        <v>43462</v>
      </c>
      <c r="B25" s="2">
        <v>37980.533035444794</v>
      </c>
      <c r="C25" s="6">
        <f>VLOOKUP(A25,fund_value_simple[],8,FALSE)</f>
        <v>0.76111159826725772</v>
      </c>
      <c r="D25" s="5">
        <f t="shared" si="0"/>
        <v>28907.42420164977</v>
      </c>
      <c r="E25">
        <v>30000</v>
      </c>
      <c r="F25" s="4">
        <f t="shared" si="1"/>
        <v>-3.6419193278340999E-2</v>
      </c>
    </row>
    <row r="26" spans="1:6" x14ac:dyDescent="0.5">
      <c r="A26" s="3">
        <v>43467</v>
      </c>
      <c r="B26" s="2">
        <v>37980.533035444794</v>
      </c>
      <c r="C26" s="6">
        <f>VLOOKUP(A26,fund_value_simple[],8,FALSE)</f>
        <v>0.75417776413612547</v>
      </c>
      <c r="D26" s="5">
        <f t="shared" si="0"/>
        <v>28644.073485370005</v>
      </c>
      <c r="E26">
        <v>30000</v>
      </c>
      <c r="F26" s="4">
        <f t="shared" si="1"/>
        <v>-4.51975504876665E-2</v>
      </c>
    </row>
    <row r="27" spans="1:6" x14ac:dyDescent="0.5">
      <c r="A27" s="3">
        <v>43468</v>
      </c>
      <c r="B27">
        <v>117537.37341607724</v>
      </c>
      <c r="C27" s="6">
        <f>VLOOKUP(A27,fund_value_simple[],8,FALSE)</f>
        <v>0.75629613105503435</v>
      </c>
      <c r="D27" s="5">
        <f t="shared" si="0"/>
        <v>88893.060768950061</v>
      </c>
      <c r="E27">
        <v>90000</v>
      </c>
      <c r="F27" s="4">
        <f t="shared" si="1"/>
        <v>-1.2299324789443764E-2</v>
      </c>
    </row>
    <row r="28" spans="1:6" x14ac:dyDescent="0.5">
      <c r="A28" s="3">
        <v>43469</v>
      </c>
      <c r="B28">
        <v>117537.37341607724</v>
      </c>
      <c r="C28" s="6">
        <f>VLOOKUP(A28,fund_value_simple[],8,FALSE)</f>
        <v>0.77130086828196887</v>
      </c>
      <c r="D28" s="5">
        <f t="shared" si="0"/>
        <v>90656.678171402382</v>
      </c>
      <c r="E28">
        <v>90000</v>
      </c>
      <c r="F28" s="4">
        <f t="shared" si="1"/>
        <v>7.2964241266931318E-3</v>
      </c>
    </row>
    <row r="29" spans="1:6" x14ac:dyDescent="0.5">
      <c r="A29" s="3">
        <v>43472</v>
      </c>
      <c r="B29">
        <v>117537.37341607724</v>
      </c>
      <c r="C29" s="6">
        <f>VLOOKUP(A29,fund_value_simple[],8,FALSE)</f>
        <v>0.7777005253486069</v>
      </c>
      <c r="D29" s="5">
        <f t="shared" si="0"/>
        <v>91408.877053778648</v>
      </c>
      <c r="E29">
        <v>90000</v>
      </c>
      <c r="F29" s="4">
        <f t="shared" si="1"/>
        <v>1.565418948642942E-2</v>
      </c>
    </row>
    <row r="30" spans="1:6" x14ac:dyDescent="0.5">
      <c r="A30" s="3">
        <v>43473</v>
      </c>
      <c r="B30">
        <v>117537.37341607724</v>
      </c>
      <c r="C30" s="6">
        <f>VLOOKUP(A30,fund_value_simple[],8,FALSE)</f>
        <v>0.77634692750289258</v>
      </c>
      <c r="D30" s="5">
        <f t="shared" si="0"/>
        <v>91249.778718331727</v>
      </c>
      <c r="E30">
        <v>90000</v>
      </c>
      <c r="F30" s="4">
        <f t="shared" si="1"/>
        <v>1.3886430203685855E-2</v>
      </c>
    </row>
    <row r="31" spans="1:6" x14ac:dyDescent="0.5">
      <c r="A31" s="3">
        <v>43474</v>
      </c>
      <c r="B31">
        <v>117537.37341607724</v>
      </c>
      <c r="C31" s="6">
        <f>VLOOKUP(A31,fund_value_simple[],8,FALSE)</f>
        <v>0.779752057802649</v>
      </c>
      <c r="D31" s="5">
        <f t="shared" si="0"/>
        <v>91650.008789904605</v>
      </c>
      <c r="E31">
        <v>90000</v>
      </c>
      <c r="F31" s="4">
        <f t="shared" si="1"/>
        <v>1.8333430998940053E-2</v>
      </c>
    </row>
    <row r="32" spans="1:6" x14ac:dyDescent="0.5">
      <c r="A32" s="3">
        <v>43475</v>
      </c>
      <c r="B32">
        <v>117537.37341607724</v>
      </c>
      <c r="C32" s="6">
        <f>VLOOKUP(A32,fund_value_simple[],8,FALSE)</f>
        <v>0.77944244857223999</v>
      </c>
      <c r="D32" s="5">
        <f t="shared" si="0"/>
        <v>91613.618134176955</v>
      </c>
      <c r="E32">
        <v>90000</v>
      </c>
      <c r="F32" s="4">
        <f t="shared" si="1"/>
        <v>1.7929090379743946E-2</v>
      </c>
    </row>
    <row r="33" spans="1:6" x14ac:dyDescent="0.5">
      <c r="A33" s="3">
        <v>43476</v>
      </c>
      <c r="B33">
        <v>117537.37341607724</v>
      </c>
      <c r="C33" s="6">
        <f>VLOOKUP(A33,fund_value_simple[],8,FALSE)</f>
        <v>0.78524276614709743</v>
      </c>
      <c r="D33" s="5">
        <f t="shared" si="0"/>
        <v>92295.372226904816</v>
      </c>
      <c r="E33">
        <v>90000</v>
      </c>
      <c r="F33" s="4">
        <f t="shared" si="1"/>
        <v>2.5504135854497952E-2</v>
      </c>
    </row>
    <row r="34" spans="1:6" x14ac:dyDescent="0.5">
      <c r="A34" s="3">
        <v>43479</v>
      </c>
      <c r="B34">
        <v>117537.37341607724</v>
      </c>
      <c r="C34" s="6">
        <f>VLOOKUP(A34,fund_value_simple[],8,FALSE)</f>
        <v>0.77955303961837863</v>
      </c>
      <c r="D34" s="5">
        <f t="shared" si="0"/>
        <v>91626.61671526343</v>
      </c>
      <c r="E34">
        <v>90000</v>
      </c>
      <c r="F34" s="4">
        <f t="shared" si="1"/>
        <v>1.8073519058482552E-2</v>
      </c>
    </row>
    <row r="35" spans="1:6" x14ac:dyDescent="0.5">
      <c r="A35" s="3">
        <v>43480</v>
      </c>
      <c r="B35">
        <v>117537.37341607724</v>
      </c>
      <c r="C35" s="6">
        <f>VLOOKUP(A35,fund_value_simple[],8,FALSE)</f>
        <v>0.79041883839540317</v>
      </c>
      <c r="D35" s="5">
        <f t="shared" si="0"/>
        <v>92903.754163582518</v>
      </c>
      <c r="E35">
        <v>90000</v>
      </c>
      <c r="F35" s="4">
        <f t="shared" si="1"/>
        <v>3.226393515091687E-2</v>
      </c>
    </row>
    <row r="36" spans="1:6" x14ac:dyDescent="0.5">
      <c r="A36" s="3">
        <v>43481</v>
      </c>
      <c r="B36">
        <v>117537.37341607724</v>
      </c>
      <c r="C36" s="6">
        <f>VLOOKUP(A36,fund_value_simple[],8,FALSE)</f>
        <v>0.78058331859986496</v>
      </c>
      <c r="D36" s="5">
        <f t="shared" si="0"/>
        <v>91747.713000633128</v>
      </c>
      <c r="E36">
        <v>90000</v>
      </c>
      <c r="F36" s="4">
        <f t="shared" si="1"/>
        <v>1.941903334036809E-2</v>
      </c>
    </row>
    <row r="37" spans="1:6" x14ac:dyDescent="0.5">
      <c r="A37" s="3">
        <v>43482</v>
      </c>
      <c r="B37">
        <v>117537.37341607724</v>
      </c>
      <c r="C37" s="6">
        <f>VLOOKUP(A37,fund_value_simple[],8,FALSE)</f>
        <v>0.77639262628228889</v>
      </c>
      <c r="D37" s="5">
        <f t="shared" si="0"/>
        <v>91255.150032830294</v>
      </c>
      <c r="E37">
        <v>90000</v>
      </c>
      <c r="F37" s="4">
        <f t="shared" si="1"/>
        <v>1.3946111475892151E-2</v>
      </c>
    </row>
    <row r="38" spans="1:6" x14ac:dyDescent="0.5">
      <c r="A38" s="3">
        <v>43483</v>
      </c>
      <c r="B38">
        <v>117537.37341607724</v>
      </c>
      <c r="C38" s="6">
        <f>VLOOKUP(A38,fund_value_simple[],8,FALSE)</f>
        <v>0.79582203357730785</v>
      </c>
      <c r="D38" s="5">
        <f t="shared" si="0"/>
        <v>93538.831533317993</v>
      </c>
      <c r="E38">
        <v>90000</v>
      </c>
      <c r="F38" s="4">
        <f t="shared" si="1"/>
        <v>3.9320350370199916E-2</v>
      </c>
    </row>
    <row r="39" spans="1:6" x14ac:dyDescent="0.5">
      <c r="A39" s="3">
        <v>43486</v>
      </c>
      <c r="B39">
        <v>117537.37341607724</v>
      </c>
      <c r="C39" s="6">
        <f>VLOOKUP(A39,fund_value_simple[],8,FALSE)</f>
        <v>0.79937774135517436</v>
      </c>
      <c r="D39" s="5">
        <f t="shared" si="0"/>
        <v>93956.760086163544</v>
      </c>
      <c r="E39">
        <v>90000</v>
      </c>
      <c r="F39" s="4">
        <f t="shared" si="1"/>
        <v>4.3964000957372705E-2</v>
      </c>
    </row>
    <row r="40" spans="1:6" x14ac:dyDescent="0.5">
      <c r="A40" s="3">
        <v>43487</v>
      </c>
      <c r="B40">
        <v>117537.37341607724</v>
      </c>
      <c r="C40" s="6">
        <f>VLOOKUP(A40,fund_value_simple[],8,FALSE)</f>
        <v>0.79097396431811806</v>
      </c>
      <c r="D40" s="5">
        <f t="shared" si="0"/>
        <v>92969.002206453602</v>
      </c>
      <c r="E40">
        <v>90000</v>
      </c>
      <c r="F40" s="4">
        <f t="shared" si="1"/>
        <v>3.2988913405040024E-2</v>
      </c>
    </row>
    <row r="41" spans="1:6" x14ac:dyDescent="0.5">
      <c r="A41" s="3">
        <v>43488</v>
      </c>
      <c r="B41">
        <v>117537.37341607724</v>
      </c>
      <c r="C41" s="6">
        <f>VLOOKUP(A41,fund_value_simple[],8,FALSE)</f>
        <v>0.78983869239096882</v>
      </c>
      <c r="D41" s="5">
        <f t="shared" si="0"/>
        <v>92835.565326023469</v>
      </c>
      <c r="E41">
        <v>90000</v>
      </c>
      <c r="F41" s="4">
        <f t="shared" si="1"/>
        <v>3.1506281400260759E-2</v>
      </c>
    </row>
    <row r="42" spans="1:6" x14ac:dyDescent="0.5">
      <c r="A42" s="3">
        <v>43489</v>
      </c>
      <c r="B42">
        <v>117537.37341607724</v>
      </c>
      <c r="C42" s="6">
        <f>VLOOKUP(A42,fund_value_simple[],8,FALSE)</f>
        <v>0.79510022135674552</v>
      </c>
      <c r="D42" s="5">
        <f t="shared" si="0"/>
        <v>93453.991620813467</v>
      </c>
      <c r="E42">
        <v>90000</v>
      </c>
      <c r="F42" s="4">
        <f t="shared" si="1"/>
        <v>3.8377684675705195E-2</v>
      </c>
    </row>
    <row r="43" spans="1:6" x14ac:dyDescent="0.5">
      <c r="A43" s="3">
        <v>43490</v>
      </c>
      <c r="B43">
        <v>117537.37341607724</v>
      </c>
      <c r="C43" s="6">
        <f>VLOOKUP(A43,fund_value_simple[],8,FALSE)</f>
        <v>0.79855470633824965</v>
      </c>
      <c r="D43" s="5">
        <f t="shared" si="0"/>
        <v>93860.022712044753</v>
      </c>
      <c r="E43">
        <v>90000</v>
      </c>
      <c r="F43" s="4">
        <f t="shared" si="1"/>
        <v>4.2889141244941698E-2</v>
      </c>
    </row>
    <row r="44" spans="1:6" x14ac:dyDescent="0.5">
      <c r="A44" s="3">
        <v>43493</v>
      </c>
      <c r="B44">
        <v>117537.37341607724</v>
      </c>
      <c r="C44" s="6">
        <f>VLOOKUP(A44,fund_value_simple[],8,FALSE)</f>
        <v>0.79733043603822651</v>
      </c>
      <c r="D44" s="5">
        <f t="shared" si="0"/>
        <v>93716.125196628724</v>
      </c>
      <c r="E44">
        <v>90000</v>
      </c>
      <c r="F44" s="4">
        <f t="shared" si="1"/>
        <v>4.1290279962541372E-2</v>
      </c>
    </row>
    <row r="45" spans="1:6" x14ac:dyDescent="0.5">
      <c r="A45" s="3">
        <v>43494</v>
      </c>
      <c r="B45">
        <v>117537.37341607724</v>
      </c>
      <c r="C45" s="6">
        <f>VLOOKUP(A45,fund_value_simple[],8,FALSE)</f>
        <v>0.79748981053137069</v>
      </c>
      <c r="D45" s="5">
        <f t="shared" si="0"/>
        <v>93734.857655942411</v>
      </c>
      <c r="E45">
        <v>90000</v>
      </c>
      <c r="F45" s="4">
        <f t="shared" si="1"/>
        <v>4.1498418399360124E-2</v>
      </c>
    </row>
    <row r="46" spans="1:6" x14ac:dyDescent="0.5">
      <c r="A46" s="3">
        <v>43495</v>
      </c>
      <c r="B46">
        <v>117537.37341607724</v>
      </c>
      <c r="C46" s="6">
        <f>VLOOKUP(A46,fund_value_simple[],8,FALSE)</f>
        <v>0.7939999089958345</v>
      </c>
      <c r="D46" s="5">
        <f t="shared" si="0"/>
        <v>93324.663795974746</v>
      </c>
      <c r="E46">
        <v>90000</v>
      </c>
      <c r="F46" s="4">
        <f t="shared" si="1"/>
        <v>3.6940708844163846E-2</v>
      </c>
    </row>
    <row r="47" spans="1:6" x14ac:dyDescent="0.5">
      <c r="A47" s="3">
        <v>43496</v>
      </c>
      <c r="B47">
        <v>117537.37341607724</v>
      </c>
      <c r="C47" s="6">
        <f>VLOOKUP(A47,fund_value_simple[],8,FALSE)</f>
        <v>0.79843760321604695</v>
      </c>
      <c r="D47" s="5">
        <f t="shared" si="0"/>
        <v>93846.258718642232</v>
      </c>
      <c r="E47">
        <v>90000</v>
      </c>
      <c r="F47" s="4">
        <f t="shared" si="1"/>
        <v>4.2736207984913684E-2</v>
      </c>
    </row>
    <row r="48" spans="1:6" x14ac:dyDescent="0.5">
      <c r="A48" s="3">
        <v>43497</v>
      </c>
      <c r="B48">
        <v>117537.37341607724</v>
      </c>
      <c r="C48" s="6">
        <f>VLOOKUP(A48,fund_value_simple[],8,FALSE)</f>
        <v>0.80992776156657165</v>
      </c>
      <c r="D48" s="5">
        <f t="shared" si="0"/>
        <v>95196.781751297705</v>
      </c>
      <c r="E48">
        <v>90000</v>
      </c>
      <c r="F48" s="4">
        <f t="shared" si="1"/>
        <v>5.774201945886339E-2</v>
      </c>
    </row>
    <row r="49" spans="1:6" x14ac:dyDescent="0.5">
      <c r="A49" s="3">
        <v>43507</v>
      </c>
      <c r="B49">
        <v>117537.37341607724</v>
      </c>
      <c r="C49" s="6">
        <f>VLOOKUP(A49,fund_value_simple[],8,FALSE)</f>
        <v>0.81955192450740233</v>
      </c>
      <c r="D49" s="5">
        <f t="shared" si="0"/>
        <v>96327.980584691293</v>
      </c>
      <c r="E49">
        <v>90000</v>
      </c>
      <c r="F49" s="4">
        <f t="shared" si="1"/>
        <v>7.0310895385458816E-2</v>
      </c>
    </row>
    <row r="50" spans="1:6" x14ac:dyDescent="0.5">
      <c r="A50" s="3">
        <v>43508</v>
      </c>
      <c r="B50">
        <v>117537.37341607724</v>
      </c>
      <c r="C50" s="6">
        <f>VLOOKUP(A50,fund_value_simple[],8,FALSE)</f>
        <v>0.824438837729079</v>
      </c>
      <c r="D50" s="5">
        <f t="shared" si="0"/>
        <v>96902.375528879464</v>
      </c>
      <c r="E50">
        <v>90000</v>
      </c>
      <c r="F50" s="4">
        <f t="shared" si="1"/>
        <v>7.6693061431994045E-2</v>
      </c>
    </row>
    <row r="51" spans="1:6" x14ac:dyDescent="0.5">
      <c r="A51" s="3">
        <v>43509</v>
      </c>
      <c r="B51">
        <v>117537.37341607724</v>
      </c>
      <c r="C51" s="6">
        <f>VLOOKUP(A51,fund_value_simple[],8,FALSE)</f>
        <v>0.8383245260955503</v>
      </c>
      <c r="D51" s="5">
        <f t="shared" si="0"/>
        <v>98534.462867548689</v>
      </c>
      <c r="E51">
        <v>90000</v>
      </c>
      <c r="F51" s="4">
        <f t="shared" si="1"/>
        <v>9.4827365194985441E-2</v>
      </c>
    </row>
    <row r="52" spans="1:6" x14ac:dyDescent="0.5">
      <c r="A52" s="3">
        <v>43510</v>
      </c>
      <c r="B52">
        <v>117537.37341607724</v>
      </c>
      <c r="C52" s="6">
        <f>VLOOKUP(A52,fund_value_simple[],8,FALSE)</f>
        <v>0.83911077359506114</v>
      </c>
      <c r="D52" s="5">
        <f t="shared" si="0"/>
        <v>98626.876333496155</v>
      </c>
      <c r="E52">
        <v>90000</v>
      </c>
      <c r="F52" s="4">
        <f t="shared" si="1"/>
        <v>9.5854181483290612E-2</v>
      </c>
    </row>
    <row r="53" spans="1:6" x14ac:dyDescent="0.5">
      <c r="A53" s="3">
        <v>43511</v>
      </c>
      <c r="B53">
        <v>117537.37341607724</v>
      </c>
      <c r="C53" s="6">
        <f>VLOOKUP(A53,fund_value_simple[],8,FALSE)</f>
        <v>0.82872595447118125</v>
      </c>
      <c r="D53" s="5">
        <f t="shared" si="0"/>
        <v>97406.271970274262</v>
      </c>
      <c r="E53">
        <v>90000</v>
      </c>
      <c r="F53" s="4">
        <f t="shared" si="1"/>
        <v>8.2291910780825123E-2</v>
      </c>
    </row>
    <row r="54" spans="1:6" x14ac:dyDescent="0.5">
      <c r="A54" s="3">
        <v>43514</v>
      </c>
      <c r="B54">
        <v>117537.37341607724</v>
      </c>
      <c r="C54" s="6">
        <f>VLOOKUP(A54,fund_value_simple[],8,FALSE)</f>
        <v>0.84989362908748156</v>
      </c>
      <c r="D54" s="5">
        <f t="shared" si="0"/>
        <v>99894.264846000369</v>
      </c>
      <c r="E54">
        <v>90000</v>
      </c>
      <c r="F54" s="4">
        <f t="shared" si="1"/>
        <v>0.10993627606667077</v>
      </c>
    </row>
    <row r="55" spans="1:6" x14ac:dyDescent="0.5">
      <c r="A55" s="3">
        <v>43515</v>
      </c>
      <c r="B55">
        <v>117537.37341607724</v>
      </c>
      <c r="C55" s="6">
        <f>VLOOKUP(A55,fund_value_simple[],8,FALSE)</f>
        <v>0.84965622392851847</v>
      </c>
      <c r="D55" s="5">
        <f t="shared" si="0"/>
        <v>99866.360867180425</v>
      </c>
      <c r="E55">
        <v>90000</v>
      </c>
      <c r="F55" s="4">
        <f t="shared" si="1"/>
        <v>0.10962623185756028</v>
      </c>
    </row>
    <row r="56" spans="1:6" x14ac:dyDescent="0.5">
      <c r="A56" s="3">
        <v>43516</v>
      </c>
      <c r="B56">
        <v>117537.37341607724</v>
      </c>
      <c r="C56" s="6">
        <f>VLOOKUP(A56,fund_value_simple[],8,FALSE)</f>
        <v>0.85026835907853027</v>
      </c>
      <c r="D56" s="5">
        <f t="shared" si="0"/>
        <v>99938.309624888469</v>
      </c>
      <c r="E56">
        <v>90000</v>
      </c>
      <c r="F56" s="4">
        <f t="shared" si="1"/>
        <v>0.11042566249876076</v>
      </c>
    </row>
    <row r="57" spans="1:6" x14ac:dyDescent="0.5">
      <c r="A57" s="3">
        <v>43517</v>
      </c>
      <c r="B57">
        <v>117537.37341607724</v>
      </c>
      <c r="C57" s="6">
        <f>VLOOKUP(A57,fund_value_simple[],8,FALSE)</f>
        <v>0.84849398972152579</v>
      </c>
      <c r="D57" s="5">
        <f t="shared" si="0"/>
        <v>99729.754911196185</v>
      </c>
      <c r="E57">
        <v>90000</v>
      </c>
      <c r="F57" s="4">
        <f t="shared" si="1"/>
        <v>0.10810838790217983</v>
      </c>
    </row>
    <row r="58" spans="1:6" x14ac:dyDescent="0.5">
      <c r="A58" s="3">
        <v>43518</v>
      </c>
      <c r="B58">
        <v>117537.37341607724</v>
      </c>
      <c r="C58" s="6">
        <f>VLOOKUP(A58,fund_value_simple[],8,FALSE)</f>
        <v>0.86645600921013433</v>
      </c>
      <c r="D58" s="5">
        <f t="shared" si="0"/>
        <v>101840.96350313562</v>
      </c>
      <c r="E58">
        <v>90000</v>
      </c>
      <c r="F58" s="4">
        <f t="shared" si="1"/>
        <v>0.1315662611459513</v>
      </c>
    </row>
    <row r="59" spans="1:6" x14ac:dyDescent="0.5">
      <c r="A59" s="3">
        <v>43521</v>
      </c>
      <c r="B59">
        <v>117537.37341607724</v>
      </c>
      <c r="C59" s="6">
        <f>VLOOKUP(A59,fund_value_simple[],8,FALSE)</f>
        <v>0.9157157517437895</v>
      </c>
      <c r="D59" s="5">
        <f t="shared" si="0"/>
        <v>107630.82425569367</v>
      </c>
      <c r="E59">
        <v>90000</v>
      </c>
      <c r="F59" s="4">
        <f t="shared" si="1"/>
        <v>0.19589804728548527</v>
      </c>
    </row>
    <row r="60" spans="1:6" x14ac:dyDescent="0.5">
      <c r="A60" s="3">
        <v>43522</v>
      </c>
      <c r="B60">
        <v>117537.37341607724</v>
      </c>
      <c r="C60" s="6">
        <f>VLOOKUP(A60,fund_value_simple[],8,FALSE)</f>
        <v>0.89923140228695586</v>
      </c>
      <c r="D60" s="5">
        <f t="shared" si="0"/>
        <v>105693.29711806471</v>
      </c>
      <c r="E60">
        <v>90000</v>
      </c>
      <c r="F60" s="4">
        <f t="shared" si="1"/>
        <v>0.17436996797849683</v>
      </c>
    </row>
    <row r="61" spans="1:6" x14ac:dyDescent="0.5">
      <c r="A61" s="3">
        <v>43523</v>
      </c>
      <c r="B61">
        <v>117537.37341607724</v>
      </c>
      <c r="C61" s="6">
        <f>VLOOKUP(A61,fund_value_simple[],8,FALSE)</f>
        <v>0.8977947469096893</v>
      </c>
      <c r="D61" s="5">
        <f t="shared" si="0"/>
        <v>105524.43641851671</v>
      </c>
      <c r="E61">
        <v>90000</v>
      </c>
      <c r="F61" s="4">
        <f t="shared" si="1"/>
        <v>0.17249373798351897</v>
      </c>
    </row>
    <row r="62" spans="1:6" x14ac:dyDescent="0.5">
      <c r="A62" s="3">
        <v>43524</v>
      </c>
      <c r="B62">
        <v>117537.37341607724</v>
      </c>
      <c r="C62" s="6">
        <f>VLOOKUP(A62,fund_value_simple[],8,FALSE)</f>
        <v>0.89613256805610242</v>
      </c>
      <c r="D62" s="5">
        <f t="shared" si="0"/>
        <v>105329.06828191836</v>
      </c>
      <c r="E62">
        <v>90000</v>
      </c>
      <c r="F62" s="4">
        <f t="shared" si="1"/>
        <v>0.17032298091020395</v>
      </c>
    </row>
    <row r="63" spans="1:6" x14ac:dyDescent="0.5">
      <c r="A63" s="3">
        <v>43525</v>
      </c>
      <c r="B63">
        <v>117537.37341607724</v>
      </c>
      <c r="C63" s="6">
        <f>VLOOKUP(A63,fund_value_simple[],8,FALSE)</f>
        <v>0.90817601295347106</v>
      </c>
      <c r="D63" s="5">
        <f t="shared" si="0"/>
        <v>106744.62316203633</v>
      </c>
      <c r="E63">
        <v>90000</v>
      </c>
      <c r="F63" s="4">
        <f t="shared" si="1"/>
        <v>0.18605136846707027</v>
      </c>
    </row>
    <row r="64" spans="1:6" x14ac:dyDescent="0.5">
      <c r="A64" s="3">
        <v>43528</v>
      </c>
      <c r="B64">
        <v>117537.37341607724</v>
      </c>
      <c r="C64" s="6">
        <f>VLOOKUP(A64,fund_value_simple[],8,FALSE)</f>
        <v>0.91520745564526107</v>
      </c>
      <c r="D64" s="5">
        <f t="shared" si="0"/>
        <v>107571.080467355</v>
      </c>
      <c r="E64">
        <v>90000</v>
      </c>
      <c r="F64" s="4">
        <f t="shared" si="1"/>
        <v>0.19523422741505556</v>
      </c>
    </row>
    <row r="65" spans="1:6" x14ac:dyDescent="0.5">
      <c r="A65" s="3">
        <v>43529</v>
      </c>
      <c r="B65">
        <v>117537.37341607724</v>
      </c>
      <c r="C65" s="6">
        <f>VLOOKUP(A65,fund_value_simple[],8,FALSE)</f>
        <v>0.9223755376874454</v>
      </c>
      <c r="D65" s="5">
        <f t="shared" si="0"/>
        <v>108413.59800302429</v>
      </c>
      <c r="E65">
        <v>90000</v>
      </c>
      <c r="F65" s="4">
        <f t="shared" si="1"/>
        <v>0.20459553336693659</v>
      </c>
    </row>
    <row r="66" spans="1:6" x14ac:dyDescent="0.5">
      <c r="A66" s="3">
        <v>43530</v>
      </c>
      <c r="B66">
        <v>117537.37341607724</v>
      </c>
      <c r="C66" s="6">
        <f>VLOOKUP(A66,fund_value_simple[],8,FALSE)</f>
        <v>0.92729238360962662</v>
      </c>
      <c r="D66" s="5">
        <f t="shared" si="0"/>
        <v>108991.51115820903</v>
      </c>
      <c r="E66">
        <v>90000</v>
      </c>
      <c r="F66" s="4">
        <f t="shared" si="1"/>
        <v>0.21101679064676701</v>
      </c>
    </row>
    <row r="67" spans="1:6" x14ac:dyDescent="0.5">
      <c r="A67" s="3">
        <v>43531</v>
      </c>
      <c r="B67">
        <v>117537.37341607724</v>
      </c>
      <c r="C67" s="6">
        <f>VLOOKUP(A67,fund_value_simple[],8,FALSE)</f>
        <v>0.92080738407246632</v>
      </c>
      <c r="D67" s="5">
        <f t="shared" ref="D67:D71" si="2">B67*C67</f>
        <v>108229.28134600673</v>
      </c>
      <c r="E67">
        <v>90000</v>
      </c>
      <c r="F67" s="4">
        <f t="shared" ref="F67:F78" si="3">(D67-E67)/E67</f>
        <v>0.20254757051118585</v>
      </c>
    </row>
    <row r="68" spans="1:6" x14ac:dyDescent="0.5">
      <c r="A68" s="3">
        <v>43532</v>
      </c>
      <c r="B68">
        <v>117537.37341607724</v>
      </c>
      <c r="C68" s="6">
        <f>VLOOKUP(A68,fund_value_simple[],8,FALSE)</f>
        <v>0.8991669555833125</v>
      </c>
      <c r="D68" s="5">
        <f t="shared" si="2"/>
        <v>105685.72222179314</v>
      </c>
      <c r="E68">
        <v>90000</v>
      </c>
      <c r="F68" s="4">
        <f t="shared" si="3"/>
        <v>0.17428580246436823</v>
      </c>
    </row>
    <row r="69" spans="1:6" x14ac:dyDescent="0.5">
      <c r="A69" s="3">
        <v>43535</v>
      </c>
      <c r="B69">
        <v>117537.37341607724</v>
      </c>
      <c r="C69" s="6">
        <f>VLOOKUP(A69,fund_value_simple[],8,FALSE)</f>
        <v>0.91068304799114441</v>
      </c>
      <c r="D69" s="5">
        <f t="shared" si="2"/>
        <v>107039.29347542653</v>
      </c>
      <c r="E69">
        <v>90000</v>
      </c>
      <c r="F69" s="4">
        <f t="shared" si="3"/>
        <v>0.18932548306029479</v>
      </c>
    </row>
    <row r="70" spans="1:6" x14ac:dyDescent="0.5">
      <c r="A70" s="3">
        <v>43536</v>
      </c>
      <c r="B70">
        <v>117537.37341607724</v>
      </c>
      <c r="C70" s="6">
        <f>VLOOKUP(A70,fund_value_simple[],8,FALSE)</f>
        <v>0.91888906356036404</v>
      </c>
      <c r="D70" s="5">
        <f t="shared" si="2"/>
        <v>108003.80699164404</v>
      </c>
      <c r="E70">
        <v>90000</v>
      </c>
      <c r="F70" s="4">
        <f t="shared" si="3"/>
        <v>0.20004229990715605</v>
      </c>
    </row>
    <row r="71" spans="1:6" x14ac:dyDescent="0.5">
      <c r="A71" s="3">
        <v>43537</v>
      </c>
      <c r="B71">
        <v>117537.37341607724</v>
      </c>
      <c r="C71" s="6">
        <f>VLOOKUP(A71,fund_value_simple[],8,FALSE)</f>
        <v>0.91242222928801375</v>
      </c>
      <c r="D71" s="5">
        <f t="shared" si="2"/>
        <v>107243.71227695492</v>
      </c>
      <c r="E71">
        <v>90000</v>
      </c>
      <c r="F71" s="4">
        <f t="shared" si="3"/>
        <v>0.19159680307727686</v>
      </c>
    </row>
    <row r="72" spans="1:6" x14ac:dyDescent="0.5">
      <c r="A72" s="3">
        <v>43538</v>
      </c>
      <c r="B72">
        <v>117537.37341607724</v>
      </c>
      <c r="C72" s="6">
        <f>VLOOKUP(A72,fund_value_simple[],8,FALSE)</f>
        <v>0.90529607587592531</v>
      </c>
      <c r="D72" s="5">
        <f t="shared" ref="D72:D74" si="4">B72*C72</f>
        <v>106406.12292233804</v>
      </c>
      <c r="E72">
        <v>90000</v>
      </c>
      <c r="F72" s="4">
        <f t="shared" si="3"/>
        <v>0.18229025469264484</v>
      </c>
    </row>
    <row r="73" spans="1:6" x14ac:dyDescent="0.5">
      <c r="A73" s="3">
        <v>43539</v>
      </c>
      <c r="B73">
        <v>117537.37341607724</v>
      </c>
      <c r="C73" s="6">
        <f>VLOOKUP(A73,fund_value_simple[],8,FALSE)</f>
        <v>0.91175125695952963</v>
      </c>
      <c r="D73" s="5">
        <f t="shared" si="4"/>
        <v>107164.84795183003</v>
      </c>
      <c r="E73">
        <v>90000</v>
      </c>
      <c r="F73" s="4">
        <f t="shared" si="3"/>
        <v>0.19072053279811144</v>
      </c>
    </row>
    <row r="74" spans="1:6" x14ac:dyDescent="0.5">
      <c r="A74" s="3">
        <v>43542</v>
      </c>
      <c r="B74">
        <v>117537.37341607724</v>
      </c>
      <c r="C74" s="6">
        <f>VLOOKUP(A74,fund_value_simple[],8,FALSE)</f>
        <v>0.92966666369315409</v>
      </c>
      <c r="D74" s="5">
        <f t="shared" si="4"/>
        <v>109270.57780298096</v>
      </c>
      <c r="E74">
        <v>90000</v>
      </c>
      <c r="F74" s="4">
        <f t="shared" si="3"/>
        <v>0.21411753114423288</v>
      </c>
    </row>
    <row r="75" spans="1:6" x14ac:dyDescent="0.5">
      <c r="A75" s="3">
        <v>43543</v>
      </c>
      <c r="B75">
        <v>117537.37341607724</v>
      </c>
      <c r="C75" s="6">
        <f>VLOOKUP(A75,fund_value_simple[],8,FALSE)</f>
        <v>0.92758725498368022</v>
      </c>
      <c r="D75" s="5">
        <f t="shared" ref="D75:D78" si="5">B75*C75</f>
        <v>109026.16956501087</v>
      </c>
      <c r="E75">
        <v>90000</v>
      </c>
      <c r="F75" s="4">
        <f t="shared" si="3"/>
        <v>0.21140188405567639</v>
      </c>
    </row>
    <row r="76" spans="1:6" x14ac:dyDescent="0.5">
      <c r="A76" s="3">
        <v>43544</v>
      </c>
      <c r="B76">
        <v>117537.37341607724</v>
      </c>
      <c r="C76" s="6">
        <f>VLOOKUP(A76,fund_value_simple[],8,FALSE)</f>
        <v>0.92601745621264275</v>
      </c>
      <c r="D76" s="5">
        <f t="shared" si="5"/>
        <v>108841.65954067135</v>
      </c>
      <c r="E76">
        <v>90000</v>
      </c>
      <c r="F76" s="4">
        <f t="shared" si="3"/>
        <v>0.20935177267412605</v>
      </c>
    </row>
    <row r="77" spans="1:6" x14ac:dyDescent="0.5">
      <c r="A77" s="3">
        <v>43545</v>
      </c>
      <c r="B77">
        <v>117537.37341607724</v>
      </c>
      <c r="C77" s="6">
        <f>VLOOKUP(A77,fund_value_simple[],8,FALSE)</f>
        <v>0.92713102121957858</v>
      </c>
      <c r="D77" s="5">
        <f t="shared" si="5"/>
        <v>108972.54504671464</v>
      </c>
      <c r="E77">
        <v>90000</v>
      </c>
      <c r="F77" s="4">
        <f t="shared" si="3"/>
        <v>0.21080605607460715</v>
      </c>
    </row>
    <row r="78" spans="1:6" x14ac:dyDescent="0.5">
      <c r="A78" s="3">
        <v>43546</v>
      </c>
      <c r="B78">
        <v>117537.37341607724</v>
      </c>
      <c r="C78" s="6">
        <f>VLOOKUP(A78,fund_value_simple[],8,FALSE)</f>
        <v>0.9290003297907784</v>
      </c>
      <c r="D78" s="5">
        <f t="shared" si="5"/>
        <v>109192.25866627763</v>
      </c>
      <c r="E78">
        <v>90000</v>
      </c>
      <c r="F78" s="4">
        <f t="shared" si="3"/>
        <v>0.2132473185141959</v>
      </c>
    </row>
    <row r="79" spans="1:6" x14ac:dyDescent="0.5">
      <c r="A79" s="3">
        <v>43549</v>
      </c>
      <c r="B79">
        <v>117537.37341607724</v>
      </c>
      <c r="C79" s="6">
        <f>VLOOKUP(A79,fund_value_simple[],8,FALSE)</f>
        <v>0.92068349468152322</v>
      </c>
      <c r="D79" s="5">
        <f t="shared" ref="D79:D142" si="6">B79*C79</f>
        <v>108214.71971240116</v>
      </c>
      <c r="E79">
        <v>90000</v>
      </c>
      <c r="F79" s="4">
        <f t="shared" ref="F79:F142" si="7">(D79-E79)/E79</f>
        <v>0.20238577458223508</v>
      </c>
    </row>
    <row r="80" spans="1:6" x14ac:dyDescent="0.5">
      <c r="A80" s="3">
        <v>43550</v>
      </c>
      <c r="B80">
        <v>117537.37341607724</v>
      </c>
      <c r="C80" s="6">
        <f>VLOOKUP(A80,fund_value_simple[],8,FALSE)</f>
        <v>0.90900288666786511</v>
      </c>
      <c r="D80" s="5">
        <f t="shared" si="6"/>
        <v>106841.81172657301</v>
      </c>
      <c r="E80">
        <v>90000</v>
      </c>
      <c r="F80" s="4">
        <f t="shared" si="7"/>
        <v>0.18713124140636678</v>
      </c>
    </row>
    <row r="81" spans="1:6" x14ac:dyDescent="0.5">
      <c r="A81" s="3">
        <v>43551</v>
      </c>
      <c r="B81">
        <v>117537.37341607724</v>
      </c>
      <c r="C81" s="6">
        <f>VLOOKUP(A81,fund_value_simple[],8,FALSE)</f>
        <v>0.912413272327252</v>
      </c>
      <c r="D81" s="5">
        <f t="shared" si="6"/>
        <v>107242.6594993132</v>
      </c>
      <c r="E81">
        <v>90000</v>
      </c>
      <c r="F81" s="4">
        <f t="shared" si="7"/>
        <v>0.19158510554792446</v>
      </c>
    </row>
    <row r="82" spans="1:6" x14ac:dyDescent="0.5">
      <c r="A82" s="3">
        <v>43552</v>
      </c>
      <c r="B82">
        <v>117537.37341607724</v>
      </c>
      <c r="C82" s="6">
        <f>VLOOKUP(A82,fund_value_simple[],8,FALSE)</f>
        <v>0.90986785031488604</v>
      </c>
      <c r="D82" s="5">
        <f t="shared" si="6"/>
        <v>106943.47728174423</v>
      </c>
      <c r="E82">
        <v>90000</v>
      </c>
      <c r="F82" s="4">
        <f t="shared" si="7"/>
        <v>0.18826085868604697</v>
      </c>
    </row>
    <row r="83" spans="1:6" x14ac:dyDescent="0.5">
      <c r="A83" s="3">
        <v>43553</v>
      </c>
      <c r="B83">
        <v>117537.37341607724</v>
      </c>
      <c r="C83" s="6">
        <f>VLOOKUP(A83,fund_value_simple[],8,FALSE)</f>
        <v>0.93511299852280871</v>
      </c>
      <c r="D83" s="5">
        <f t="shared" si="6"/>
        <v>109910.72569360306</v>
      </c>
      <c r="E83">
        <v>90000</v>
      </c>
      <c r="F83" s="4">
        <f t="shared" si="7"/>
        <v>0.22123028548447846</v>
      </c>
    </row>
    <row r="84" spans="1:6" x14ac:dyDescent="0.5">
      <c r="A84" s="3">
        <v>43556</v>
      </c>
      <c r="B84">
        <v>117537.37341607724</v>
      </c>
      <c r="C84" s="6">
        <f>VLOOKUP(A84,fund_value_simple[],8,FALSE)</f>
        <v>0.95525576376420196</v>
      </c>
      <c r="D84" s="5">
        <f t="shared" si="6"/>
        <v>112278.25341341307</v>
      </c>
      <c r="E84">
        <v>90000</v>
      </c>
      <c r="F84" s="4">
        <f t="shared" si="7"/>
        <v>0.24753614903792298</v>
      </c>
    </row>
    <row r="85" spans="1:6" x14ac:dyDescent="0.5">
      <c r="A85" s="3">
        <v>43557</v>
      </c>
      <c r="B85">
        <v>117537.37341607724</v>
      </c>
      <c r="C85" s="6">
        <f>VLOOKUP(A85,fund_value_simple[],8,FALSE)</f>
        <v>0.95454434801595212</v>
      </c>
      <c r="D85" s="5">
        <f t="shared" si="6"/>
        <v>112194.63547495696</v>
      </c>
      <c r="E85">
        <v>90000</v>
      </c>
      <c r="F85" s="4">
        <f t="shared" si="7"/>
        <v>0.24660706083285508</v>
      </c>
    </row>
    <row r="86" spans="1:6" x14ac:dyDescent="0.5">
      <c r="A86" s="3">
        <v>43558</v>
      </c>
      <c r="B86">
        <v>117537.37341607724</v>
      </c>
      <c r="C86" s="6">
        <f>VLOOKUP(A86,fund_value_simple[],8,FALSE)</f>
        <v>0.96285101514679183</v>
      </c>
      <c r="D86" s="5">
        <f t="shared" si="6"/>
        <v>113170.97931135751</v>
      </c>
      <c r="E86">
        <v>90000</v>
      </c>
      <c r="F86" s="4">
        <f t="shared" si="7"/>
        <v>0.25745532568175017</v>
      </c>
    </row>
    <row r="87" spans="1:6" x14ac:dyDescent="0.5">
      <c r="A87" s="3">
        <v>43559</v>
      </c>
      <c r="B87">
        <v>117537.37341607724</v>
      </c>
      <c r="C87" s="6">
        <f>VLOOKUP(A87,fund_value_simple[],8,FALSE)</f>
        <v>0.96966710234067743</v>
      </c>
      <c r="D87" s="5">
        <f t="shared" si="6"/>
        <v>113972.12429710179</v>
      </c>
      <c r="E87">
        <v>90000</v>
      </c>
      <c r="F87" s="4">
        <f t="shared" si="7"/>
        <v>0.26635693663446436</v>
      </c>
    </row>
    <row r="88" spans="1:6" x14ac:dyDescent="0.5">
      <c r="A88" s="3">
        <v>43563</v>
      </c>
      <c r="B88">
        <v>117537.37341607724</v>
      </c>
      <c r="C88" s="6">
        <f>VLOOKUP(A88,fund_value_simple[],8,FALSE)</f>
        <v>0.96405060810594101</v>
      </c>
      <c r="D88" s="5">
        <f t="shared" si="6"/>
        <v>113311.97631694433</v>
      </c>
      <c r="E88">
        <v>90000</v>
      </c>
      <c r="F88" s="4">
        <f t="shared" si="7"/>
        <v>0.25902195907715925</v>
      </c>
    </row>
    <row r="89" spans="1:6" x14ac:dyDescent="0.5">
      <c r="A89" s="3">
        <v>43564</v>
      </c>
      <c r="B89">
        <v>117537.37341607724</v>
      </c>
      <c r="C89" s="6">
        <f>VLOOKUP(A89,fund_value_simple[],8,FALSE)</f>
        <v>0.96644967977729068</v>
      </c>
      <c r="D89" s="5">
        <f t="shared" si="6"/>
        <v>113593.9568998317</v>
      </c>
      <c r="E89">
        <v>90000</v>
      </c>
      <c r="F89" s="4">
        <f t="shared" si="7"/>
        <v>0.26215507666479665</v>
      </c>
    </row>
    <row r="90" spans="1:6" x14ac:dyDescent="0.5">
      <c r="A90" s="3">
        <v>43565</v>
      </c>
      <c r="B90">
        <v>117537.37341607724</v>
      </c>
      <c r="C90" s="6">
        <f>VLOOKUP(A90,fund_value_simple[],8,FALSE)</f>
        <v>0.96638672970867256</v>
      </c>
      <c r="D90" s="5">
        <f t="shared" si="6"/>
        <v>113586.55791410996</v>
      </c>
      <c r="E90">
        <v>90000</v>
      </c>
      <c r="F90" s="4">
        <f t="shared" si="7"/>
        <v>0.2620728657123329</v>
      </c>
    </row>
    <row r="91" spans="1:6" x14ac:dyDescent="0.5">
      <c r="A91" s="3">
        <v>43566</v>
      </c>
      <c r="B91">
        <v>117537.37341607724</v>
      </c>
      <c r="C91" s="6">
        <f>VLOOKUP(A91,fund_value_simple[],8,FALSE)</f>
        <v>0.95446186171914205</v>
      </c>
      <c r="D91" s="5">
        <f t="shared" si="6"/>
        <v>112184.94025228708</v>
      </c>
      <c r="E91">
        <v>90000</v>
      </c>
      <c r="F91" s="4">
        <f t="shared" si="7"/>
        <v>0.24649933613652311</v>
      </c>
    </row>
    <row r="92" spans="1:6" x14ac:dyDescent="0.5">
      <c r="A92" s="3">
        <v>43567</v>
      </c>
      <c r="B92">
        <v>117537.37341607724</v>
      </c>
      <c r="C92" s="6">
        <f>VLOOKUP(A92,fund_value_simple[],8,FALSE)</f>
        <v>0.95249498625393136</v>
      </c>
      <c r="D92" s="5">
        <f t="shared" si="6"/>
        <v>111953.7588762697</v>
      </c>
      <c r="E92">
        <v>90000</v>
      </c>
      <c r="F92" s="4">
        <f t="shared" si="7"/>
        <v>0.24393065418077442</v>
      </c>
    </row>
    <row r="93" spans="1:6" x14ac:dyDescent="0.5">
      <c r="A93" s="3">
        <v>43570</v>
      </c>
      <c r="B93">
        <v>117537.37341607724</v>
      </c>
      <c r="C93" s="6">
        <f>VLOOKUP(A93,fund_value_simple[],8,FALSE)</f>
        <v>0.94875374143171642</v>
      </c>
      <c r="D93" s="5">
        <f t="shared" si="6"/>
        <v>111514.02278656005</v>
      </c>
      <c r="E93">
        <v>90000</v>
      </c>
      <c r="F93" s="4">
        <f t="shared" si="7"/>
        <v>0.23904469762844496</v>
      </c>
    </row>
    <row r="94" spans="1:6" x14ac:dyDescent="0.5">
      <c r="A94" s="3">
        <v>43571</v>
      </c>
      <c r="B94">
        <v>117537.37341607724</v>
      </c>
      <c r="C94" s="6">
        <f>VLOOKUP(A94,fund_value_simple[],8,FALSE)</f>
        <v>0.96720199593309997</v>
      </c>
      <c r="D94" s="5">
        <f t="shared" si="6"/>
        <v>113682.382164764</v>
      </c>
      <c r="E94">
        <v>90000</v>
      </c>
      <c r="F94" s="4">
        <f t="shared" si="7"/>
        <v>0.26313757960848888</v>
      </c>
    </row>
    <row r="95" spans="1:6" x14ac:dyDescent="0.5">
      <c r="A95" s="3">
        <v>43572</v>
      </c>
      <c r="B95">
        <v>117537.37341607724</v>
      </c>
      <c r="C95" s="6">
        <f>VLOOKUP(A95,fund_value_simple[],8,FALSE)</f>
        <v>0.9659952054161961</v>
      </c>
      <c r="D95" s="5">
        <f t="shared" si="6"/>
        <v>113540.53917714368</v>
      </c>
      <c r="E95">
        <v>90000</v>
      </c>
      <c r="F95" s="4">
        <f t="shared" si="7"/>
        <v>0.26156154641270762</v>
      </c>
    </row>
    <row r="96" spans="1:6" x14ac:dyDescent="0.5">
      <c r="A96" s="3">
        <v>43573</v>
      </c>
      <c r="B96">
        <v>117537.37341607724</v>
      </c>
      <c r="C96" s="6">
        <f>VLOOKUP(A96,fund_value_simple[],8,FALSE)</f>
        <v>0.9657081028346397</v>
      </c>
      <c r="D96" s="5">
        <f t="shared" si="6"/>
        <v>113506.79389380656</v>
      </c>
      <c r="E96">
        <v>90000</v>
      </c>
      <c r="F96" s="4">
        <f t="shared" si="7"/>
        <v>0.26118659882007295</v>
      </c>
    </row>
    <row r="97" spans="1:6" x14ac:dyDescent="0.5">
      <c r="A97" s="3">
        <v>43574</v>
      </c>
      <c r="B97">
        <v>117537.37341607724</v>
      </c>
      <c r="C97" s="6">
        <f>VLOOKUP(A97,fund_value_simple[],8,FALSE)</f>
        <v>0.97335659329522617</v>
      </c>
      <c r="D97" s="5">
        <f t="shared" si="6"/>
        <v>114405.77737314183</v>
      </c>
      <c r="E97">
        <v>90000</v>
      </c>
      <c r="F97" s="4">
        <f t="shared" si="7"/>
        <v>0.27117530414602031</v>
      </c>
    </row>
    <row r="98" spans="1:6" x14ac:dyDescent="0.5">
      <c r="A98" s="3">
        <v>43577</v>
      </c>
      <c r="B98">
        <v>117537.37341607724</v>
      </c>
      <c r="C98" s="6">
        <f>VLOOKUP(A98,fund_value_simple[],8,FALSE)</f>
        <v>0.95807309351397485</v>
      </c>
      <c r="D98" s="5">
        <f t="shared" si="6"/>
        <v>112609.39495224836</v>
      </c>
      <c r="E98">
        <v>90000</v>
      </c>
      <c r="F98" s="4">
        <f t="shared" si="7"/>
        <v>0.25121549946942623</v>
      </c>
    </row>
    <row r="99" spans="1:6" x14ac:dyDescent="0.5">
      <c r="A99" s="3">
        <v>43578</v>
      </c>
      <c r="B99">
        <v>117537.37341607724</v>
      </c>
      <c r="C99" s="6">
        <f>VLOOKUP(A99,fund_value_simple[],8,FALSE)</f>
        <v>0.95262317133013774</v>
      </c>
      <c r="D99" s="5">
        <f t="shared" si="6"/>
        <v>111968.82541343813</v>
      </c>
      <c r="E99">
        <v>90000</v>
      </c>
      <c r="F99" s="4">
        <f t="shared" si="7"/>
        <v>0.24409806014931254</v>
      </c>
    </row>
    <row r="100" spans="1:6" x14ac:dyDescent="0.5">
      <c r="A100" s="3">
        <v>43579</v>
      </c>
      <c r="B100">
        <v>117537.37341607724</v>
      </c>
      <c r="C100" s="6">
        <f>VLOOKUP(A100,fund_value_simple[],8,FALSE)</f>
        <v>0.95490319768116028</v>
      </c>
      <c r="D100" s="5">
        <f t="shared" si="6"/>
        <v>112236.81372205676</v>
      </c>
      <c r="E100">
        <v>90000</v>
      </c>
      <c r="F100" s="4">
        <f t="shared" si="7"/>
        <v>0.24707570802285286</v>
      </c>
    </row>
    <row r="101" spans="1:6" x14ac:dyDescent="0.5">
      <c r="A101" s="3">
        <v>43580</v>
      </c>
      <c r="B101">
        <v>117537.37341607724</v>
      </c>
      <c r="C101" s="6">
        <f>VLOOKUP(A101,fund_value_simple[],8,FALSE)</f>
        <v>0.93822062976869602</v>
      </c>
      <c r="D101" s="5">
        <f t="shared" si="6"/>
        <v>110275.98850779039</v>
      </c>
      <c r="E101">
        <v>90000</v>
      </c>
      <c r="F101" s="4">
        <f t="shared" si="7"/>
        <v>0.22528876119767099</v>
      </c>
    </row>
    <row r="102" spans="1:6" x14ac:dyDescent="0.5">
      <c r="A102" s="3">
        <v>43581</v>
      </c>
      <c r="B102">
        <v>117537.37341607724</v>
      </c>
      <c r="C102" s="6">
        <f>VLOOKUP(A102,fund_value_simple[],8,FALSE)</f>
        <v>0.93060789860298687</v>
      </c>
      <c r="D102" s="5">
        <f t="shared" si="6"/>
        <v>109381.20808205022</v>
      </c>
      <c r="E102">
        <v>90000</v>
      </c>
      <c r="F102" s="4">
        <f t="shared" si="7"/>
        <v>0.21534675646722462</v>
      </c>
    </row>
    <row r="103" spans="1:6" x14ac:dyDescent="0.5">
      <c r="A103" s="3">
        <v>43584</v>
      </c>
      <c r="B103">
        <v>117537.37341607724</v>
      </c>
      <c r="C103" s="6">
        <f>VLOOKUP(A103,fund_value_simple[],8,FALSE)</f>
        <v>0.92879537076518681</v>
      </c>
      <c r="D103" s="5">
        <f t="shared" si="6"/>
        <v>109168.16832075168</v>
      </c>
      <c r="E103">
        <v>90000</v>
      </c>
      <c r="F103" s="4">
        <f t="shared" si="7"/>
        <v>0.21297964800835195</v>
      </c>
    </row>
    <row r="104" spans="1:6" x14ac:dyDescent="0.5">
      <c r="A104" s="3">
        <v>43585</v>
      </c>
      <c r="B104">
        <v>117537.37341607724</v>
      </c>
      <c r="C104" s="6">
        <f>VLOOKUP(A104,fund_value_simple[],8,FALSE)</f>
        <v>0.93031119927775741</v>
      </c>
      <c r="D104" s="5">
        <f t="shared" si="6"/>
        <v>109346.33482266842</v>
      </c>
      <c r="E104">
        <v>90000</v>
      </c>
      <c r="F104" s="4">
        <f t="shared" si="7"/>
        <v>0.21495927580742685</v>
      </c>
    </row>
    <row r="105" spans="1:6" x14ac:dyDescent="0.5">
      <c r="A105" s="3">
        <v>43591</v>
      </c>
      <c r="B105">
        <v>117537.37341607724</v>
      </c>
      <c r="C105" s="6">
        <f>VLOOKUP(A105,fund_value_simple[],8,FALSE)</f>
        <v>0.89102670055764388</v>
      </c>
      <c r="D105" s="5">
        <f t="shared" si="6"/>
        <v>104728.93802713903</v>
      </c>
      <c r="E105">
        <v>90000</v>
      </c>
      <c r="F105" s="4">
        <f t="shared" si="7"/>
        <v>0.16365486696821138</v>
      </c>
    </row>
    <row r="106" spans="1:6" x14ac:dyDescent="0.5">
      <c r="A106" s="3">
        <v>43592</v>
      </c>
      <c r="B106">
        <v>117537.37341607724</v>
      </c>
      <c r="C106" s="6">
        <f>VLOOKUP(A106,fund_value_simple[],8,FALSE)</f>
        <v>0.89682039180948869</v>
      </c>
      <c r="D106" s="5">
        <f t="shared" si="6"/>
        <v>105409.91327926457</v>
      </c>
      <c r="E106">
        <v>90000</v>
      </c>
      <c r="F106" s="4">
        <f t="shared" si="7"/>
        <v>0.17122125865849522</v>
      </c>
    </row>
    <row r="107" spans="1:6" x14ac:dyDescent="0.5">
      <c r="A107" s="3">
        <v>43593</v>
      </c>
      <c r="B107">
        <v>117537.37341607724</v>
      </c>
      <c r="C107" s="6">
        <f>VLOOKUP(A107,fund_value_simple[],8,FALSE)</f>
        <v>0.89043453577422838</v>
      </c>
      <c r="D107" s="5">
        <f t="shared" si="6"/>
        <v>104659.33653386687</v>
      </c>
      <c r="E107">
        <v>90000</v>
      </c>
      <c r="F107" s="4">
        <f t="shared" si="7"/>
        <v>0.16288151704296519</v>
      </c>
    </row>
    <row r="108" spans="1:6" x14ac:dyDescent="0.5">
      <c r="A108" s="3">
        <v>43594</v>
      </c>
      <c r="B108">
        <v>117537.37341607724</v>
      </c>
      <c r="C108" s="6">
        <f>VLOOKUP(A108,fund_value_simple[],8,FALSE)</f>
        <v>0.88320704531882932</v>
      </c>
      <c r="D108" s="5">
        <f t="shared" si="6"/>
        <v>103809.83628934949</v>
      </c>
      <c r="E108">
        <v>90000</v>
      </c>
      <c r="F108" s="4">
        <f t="shared" si="7"/>
        <v>0.15344262543721657</v>
      </c>
    </row>
    <row r="109" spans="1:6" x14ac:dyDescent="0.5">
      <c r="A109" s="3">
        <v>43595</v>
      </c>
      <c r="B109">
        <v>117537.37341607724</v>
      </c>
      <c r="C109" s="6">
        <f>VLOOKUP(A109,fund_value_simple[],8,FALSE)</f>
        <v>0.90398479509993201</v>
      </c>
      <c r="D109" s="5">
        <f t="shared" si="6"/>
        <v>106251.99842411678</v>
      </c>
      <c r="E109">
        <v>90000</v>
      </c>
      <c r="F109" s="4">
        <f t="shared" si="7"/>
        <v>0.18057776026796427</v>
      </c>
    </row>
    <row r="110" spans="1:6" x14ac:dyDescent="0.5">
      <c r="A110" s="3">
        <v>43598</v>
      </c>
      <c r="B110">
        <v>117537.37341607724</v>
      </c>
      <c r="C110" s="6">
        <f>VLOOKUP(A110,fund_value_simple[],8,FALSE)</f>
        <v>0.89373033174427952</v>
      </c>
      <c r="D110" s="5">
        <f t="shared" si="6"/>
        <v>105046.71573550197</v>
      </c>
      <c r="E110">
        <v>90000</v>
      </c>
      <c r="F110" s="4">
        <f t="shared" si="7"/>
        <v>0.16718573039446638</v>
      </c>
    </row>
    <row r="111" spans="1:6" x14ac:dyDescent="0.5">
      <c r="A111" s="3">
        <v>43599</v>
      </c>
      <c r="B111">
        <v>117537.37341607724</v>
      </c>
      <c r="C111" s="6">
        <f>VLOOKUP(A111,fund_value_simple[],8,FALSE)</f>
        <v>0.88972860387950636</v>
      </c>
      <c r="D111" s="5">
        <f t="shared" si="6"/>
        <v>104576.36315315061</v>
      </c>
      <c r="E111">
        <v>90000</v>
      </c>
      <c r="F111" s="4">
        <f t="shared" si="7"/>
        <v>0.16195959059056234</v>
      </c>
    </row>
    <row r="112" spans="1:6" x14ac:dyDescent="0.5">
      <c r="A112" s="3">
        <v>43600</v>
      </c>
      <c r="B112">
        <v>117537.37341607724</v>
      </c>
      <c r="C112" s="6">
        <f>VLOOKUP(A112,fund_value_simple[],8,FALSE)</f>
        <v>0.90104202220071616</v>
      </c>
      <c r="D112" s="5">
        <f t="shared" si="6"/>
        <v>105906.11262698294</v>
      </c>
      <c r="E112">
        <v>90000</v>
      </c>
      <c r="F112" s="4">
        <f t="shared" si="7"/>
        <v>0.17673458474425488</v>
      </c>
    </row>
    <row r="113" spans="1:6" x14ac:dyDescent="0.5">
      <c r="A113" s="3">
        <v>43601</v>
      </c>
      <c r="B113">
        <v>117537.37341607724</v>
      </c>
      <c r="C113" s="6">
        <f>VLOOKUP(A113,fund_value_simple[],8,FALSE)</f>
        <v>0.90608453976623671</v>
      </c>
      <c r="D113" s="5">
        <f t="shared" si="6"/>
        <v>106498.79689703866</v>
      </c>
      <c r="E113">
        <v>90000</v>
      </c>
      <c r="F113" s="4">
        <f t="shared" si="7"/>
        <v>0.18331996552265176</v>
      </c>
    </row>
    <row r="114" spans="1:6" x14ac:dyDescent="0.5">
      <c r="A114" s="3">
        <v>43602</v>
      </c>
      <c r="B114">
        <v>117537.37341607724</v>
      </c>
      <c r="C114" s="6">
        <f>VLOOKUP(A114,fund_value_simple[],8,FALSE)</f>
        <v>0.8898672996749738</v>
      </c>
      <c r="D114" s="5">
        <f t="shared" si="6"/>
        <v>104592.66509265371</v>
      </c>
      <c r="E114">
        <v>90000</v>
      </c>
      <c r="F114" s="4">
        <f t="shared" si="7"/>
        <v>0.16214072325170789</v>
      </c>
    </row>
    <row r="115" spans="1:6" x14ac:dyDescent="0.5">
      <c r="A115" s="3">
        <v>43605</v>
      </c>
      <c r="B115">
        <v>117537.37341607724</v>
      </c>
      <c r="C115" s="6">
        <f>VLOOKUP(A115,fund_value_simple[],8,FALSE)</f>
        <v>0.88978846928051536</v>
      </c>
      <c r="D115" s="5">
        <f t="shared" si="6"/>
        <v>104583.3995751437</v>
      </c>
      <c r="E115">
        <v>90000</v>
      </c>
      <c r="F115" s="4">
        <f t="shared" si="7"/>
        <v>0.16203777305715225</v>
      </c>
    </row>
    <row r="116" spans="1:6" x14ac:dyDescent="0.5">
      <c r="A116" s="3">
        <v>43606</v>
      </c>
      <c r="B116">
        <v>117537.37341607724</v>
      </c>
      <c r="C116" s="6">
        <f>VLOOKUP(A116,fund_value_simple[],8,FALSE)</f>
        <v>0.89755280614687105</v>
      </c>
      <c r="D116" s="5">
        <f t="shared" si="6"/>
        <v>105495.99933673277</v>
      </c>
      <c r="E116">
        <v>90000</v>
      </c>
      <c r="F116" s="4">
        <f t="shared" si="7"/>
        <v>0.17217777040814189</v>
      </c>
    </row>
    <row r="117" spans="1:6" x14ac:dyDescent="0.5">
      <c r="A117" s="3">
        <v>43607</v>
      </c>
      <c r="B117">
        <v>117537.37341607724</v>
      </c>
      <c r="C117" s="6">
        <f>VLOOKUP(A117,fund_value_simple[],8,FALSE)</f>
        <v>0.89533024601093902</v>
      </c>
      <c r="D117" s="5">
        <f t="shared" si="6"/>
        <v>105234.76545609604</v>
      </c>
      <c r="E117">
        <v>90000</v>
      </c>
      <c r="F117" s="4">
        <f t="shared" si="7"/>
        <v>0.1692751717344004</v>
      </c>
    </row>
    <row r="118" spans="1:6" x14ac:dyDescent="0.5">
      <c r="A118" s="3">
        <v>43608</v>
      </c>
      <c r="B118">
        <v>117537.37341607724</v>
      </c>
      <c r="C118" s="6">
        <f>VLOOKUP(A118,fund_value_simple[],8,FALSE)</f>
        <v>0.88598655932865189</v>
      </c>
      <c r="D118" s="5">
        <f t="shared" si="6"/>
        <v>104136.53306543724</v>
      </c>
      <c r="E118">
        <v>90000</v>
      </c>
      <c r="F118" s="4">
        <f t="shared" si="7"/>
        <v>0.15707258961596932</v>
      </c>
    </row>
    <row r="119" spans="1:6" x14ac:dyDescent="0.5">
      <c r="A119" s="3">
        <v>43609</v>
      </c>
      <c r="B119">
        <v>117537.37341607724</v>
      </c>
      <c r="C119" s="6">
        <f>VLOOKUP(A119,fund_value_simple[],8,FALSE)</f>
        <v>0.88084304746066577</v>
      </c>
      <c r="D119" s="5">
        <f t="shared" si="6"/>
        <v>103531.97819033972</v>
      </c>
      <c r="E119">
        <v>90000</v>
      </c>
      <c r="F119" s="4">
        <f t="shared" si="7"/>
        <v>0.15035531322599693</v>
      </c>
    </row>
    <row r="120" spans="1:6" x14ac:dyDescent="0.5">
      <c r="A120" s="3">
        <v>43612</v>
      </c>
      <c r="B120">
        <v>117537.37341607724</v>
      </c>
      <c r="C120" s="6">
        <f>VLOOKUP(A120,fund_value_simple[],8,FALSE)</f>
        <v>0.89356261722389552</v>
      </c>
      <c r="D120" s="5">
        <f t="shared" si="6"/>
        <v>105027.0030112923</v>
      </c>
      <c r="E120">
        <v>90000</v>
      </c>
      <c r="F120" s="4">
        <f t="shared" si="7"/>
        <v>0.16696670012546996</v>
      </c>
    </row>
    <row r="121" spans="1:6" x14ac:dyDescent="0.5">
      <c r="A121" s="3">
        <v>43613</v>
      </c>
      <c r="B121">
        <v>117537.37341607724</v>
      </c>
      <c r="C121" s="6">
        <f>VLOOKUP(A121,fund_value_simple[],8,FALSE)</f>
        <v>0.89433584057127857</v>
      </c>
      <c r="D121" s="5">
        <f t="shared" si="6"/>
        <v>105117.8856526077</v>
      </c>
      <c r="E121">
        <v>90000</v>
      </c>
      <c r="F121" s="4">
        <f t="shared" si="7"/>
        <v>0.16797650725119667</v>
      </c>
    </row>
    <row r="122" spans="1:6" x14ac:dyDescent="0.5">
      <c r="A122" s="3">
        <v>43614</v>
      </c>
      <c r="B122">
        <v>117537.37341607724</v>
      </c>
      <c r="C122" s="6">
        <f>VLOOKUP(A122,fund_value_simple[],8,FALSE)</f>
        <v>0.89500852660399011</v>
      </c>
      <c r="D122" s="5">
        <f t="shared" si="6"/>
        <v>105196.95140202629</v>
      </c>
      <c r="E122">
        <v>90000</v>
      </c>
      <c r="F122" s="4">
        <f t="shared" si="7"/>
        <v>0.16885501557806987</v>
      </c>
    </row>
    <row r="123" spans="1:6" x14ac:dyDescent="0.5">
      <c r="A123" s="3">
        <v>43615</v>
      </c>
      <c r="B123">
        <v>117537.37341607724</v>
      </c>
      <c r="C123" s="6">
        <f>VLOOKUP(A123,fund_value_simple[],8,FALSE)</f>
        <v>0.89287942047192292</v>
      </c>
      <c r="D123" s="5">
        <f t="shared" si="6"/>
        <v>104946.70185953905</v>
      </c>
      <c r="E123">
        <v>90000</v>
      </c>
      <c r="F123" s="4">
        <f t="shared" si="7"/>
        <v>0.1660744651059895</v>
      </c>
    </row>
    <row r="124" spans="1:6" x14ac:dyDescent="0.5">
      <c r="A124" s="3">
        <v>43616</v>
      </c>
      <c r="B124">
        <v>117537.37341607724</v>
      </c>
      <c r="C124" s="6">
        <f>VLOOKUP(A124,fund_value_simple[],8,FALSE)</f>
        <v>0.89068382261583445</v>
      </c>
      <c r="D124" s="5">
        <f t="shared" si="6"/>
        <v>104688.63705445644</v>
      </c>
      <c r="E124">
        <v>90000</v>
      </c>
      <c r="F124" s="4">
        <f t="shared" si="7"/>
        <v>0.16320707838284934</v>
      </c>
    </row>
    <row r="125" spans="1:6" x14ac:dyDescent="0.5">
      <c r="A125" s="3">
        <v>43619</v>
      </c>
      <c r="B125">
        <v>117537.37341607724</v>
      </c>
      <c r="C125" s="6">
        <f>VLOOKUP(A125,fund_value_simple[],8,FALSE)</f>
        <v>0.88896406330020861</v>
      </c>
      <c r="D125" s="5">
        <f t="shared" si="6"/>
        <v>104486.50106158995</v>
      </c>
      <c r="E125">
        <v>90000</v>
      </c>
      <c r="F125" s="4">
        <f t="shared" si="7"/>
        <v>0.16096112290655501</v>
      </c>
    </row>
    <row r="126" spans="1:6" x14ac:dyDescent="0.5">
      <c r="A126" s="3">
        <v>43620</v>
      </c>
      <c r="B126">
        <v>117537.37341607724</v>
      </c>
      <c r="C126" s="6">
        <f>VLOOKUP(A126,fund_value_simple[],8,FALSE)</f>
        <v>0.88091068165417208</v>
      </c>
      <c r="D126" s="5">
        <f t="shared" si="6"/>
        <v>103539.92773579757</v>
      </c>
      <c r="E126">
        <v>90000</v>
      </c>
      <c r="F126" s="4">
        <f t="shared" si="7"/>
        <v>0.15044364150886186</v>
      </c>
    </row>
    <row r="127" spans="1:6" x14ac:dyDescent="0.5">
      <c r="A127" s="3">
        <v>43621</v>
      </c>
      <c r="B127">
        <v>117537.37341607724</v>
      </c>
      <c r="C127" s="6">
        <f>VLOOKUP(A127,fund_value_simple[],8,FALSE)</f>
        <v>0.87944626426842232</v>
      </c>
      <c r="D127" s="5">
        <f t="shared" si="6"/>
        <v>103367.8039626917</v>
      </c>
      <c r="E127">
        <v>90000</v>
      </c>
      <c r="F127" s="4">
        <f t="shared" si="7"/>
        <v>0.14853115514101892</v>
      </c>
    </row>
    <row r="128" spans="1:6" x14ac:dyDescent="0.5">
      <c r="A128" s="3">
        <v>43622</v>
      </c>
      <c r="B128">
        <v>117537.37341607724</v>
      </c>
      <c r="C128" s="6">
        <f>VLOOKUP(A128,fund_value_simple[],8,FALSE)</f>
        <v>0.87127577950018309</v>
      </c>
      <c r="D128" s="5">
        <f t="shared" si="6"/>
        <v>102407.46664349679</v>
      </c>
      <c r="E128">
        <v>90000</v>
      </c>
      <c r="F128" s="4">
        <f t="shared" si="7"/>
        <v>0.13786074048329772</v>
      </c>
    </row>
    <row r="129" spans="1:6" x14ac:dyDescent="0.5">
      <c r="A129" s="3">
        <v>43626</v>
      </c>
      <c r="B129">
        <v>117537.37341607724</v>
      </c>
      <c r="C129" s="6">
        <f>VLOOKUP(A129,fund_value_simple[],8,FALSE)</f>
        <v>0.87878031880567187</v>
      </c>
      <c r="D129" s="5">
        <f t="shared" si="6"/>
        <v>103289.53048216166</v>
      </c>
      <c r="E129">
        <v>90000</v>
      </c>
      <c r="F129" s="4">
        <f t="shared" si="7"/>
        <v>0.14766144980179621</v>
      </c>
    </row>
    <row r="130" spans="1:6" x14ac:dyDescent="0.5">
      <c r="A130" s="3">
        <v>43627</v>
      </c>
      <c r="B130">
        <v>117537.37341607724</v>
      </c>
      <c r="C130" s="6">
        <f>VLOOKUP(A130,fund_value_simple[],8,FALSE)</f>
        <v>0.89810301945080073</v>
      </c>
      <c r="D130" s="5">
        <f t="shared" si="6"/>
        <v>105560.66996329525</v>
      </c>
      <c r="E130">
        <v>90000</v>
      </c>
      <c r="F130" s="4">
        <f t="shared" si="7"/>
        <v>0.1728963329255028</v>
      </c>
    </row>
    <row r="131" spans="1:6" x14ac:dyDescent="0.5">
      <c r="A131" s="3">
        <v>43628</v>
      </c>
      <c r="B131">
        <v>117537.37341607724</v>
      </c>
      <c r="C131" s="6">
        <f>VLOOKUP(A131,fund_value_simple[],8,FALSE)</f>
        <v>0.89832185948063437</v>
      </c>
      <c r="D131" s="5">
        <f t="shared" si="6"/>
        <v>105586.39184560018</v>
      </c>
      <c r="E131">
        <v>90000</v>
      </c>
      <c r="F131" s="4">
        <f t="shared" si="7"/>
        <v>0.17318213161777984</v>
      </c>
    </row>
    <row r="132" spans="1:6" x14ac:dyDescent="0.5">
      <c r="A132" s="3">
        <v>43629</v>
      </c>
      <c r="B132">
        <v>117537.37341607724</v>
      </c>
      <c r="C132" s="6">
        <f>VLOOKUP(A132,fund_value_simple[],8,FALSE)</f>
        <v>0.8959279289219666</v>
      </c>
      <c r="D132" s="5">
        <f t="shared" si="6"/>
        <v>105305.01553559391</v>
      </c>
      <c r="E132">
        <v>90000</v>
      </c>
      <c r="F132" s="4">
        <f t="shared" si="7"/>
        <v>0.17005572817326561</v>
      </c>
    </row>
    <row r="133" spans="1:6" x14ac:dyDescent="0.5">
      <c r="A133" s="3">
        <v>43630</v>
      </c>
      <c r="B133">
        <v>117537.37341607724</v>
      </c>
      <c r="C133" s="6">
        <f>VLOOKUP(A133,fund_value_simple[],8,FALSE)</f>
        <v>0.88605185145971432</v>
      </c>
      <c r="D133" s="5">
        <f t="shared" si="6"/>
        <v>104144.20733102705</v>
      </c>
      <c r="E133">
        <v>90000</v>
      </c>
      <c r="F133" s="4">
        <f t="shared" si="7"/>
        <v>0.15715785923363387</v>
      </c>
    </row>
    <row r="134" spans="1:6" x14ac:dyDescent="0.5">
      <c r="A134" s="3">
        <v>43633</v>
      </c>
      <c r="B134">
        <v>117537.37341607724</v>
      </c>
      <c r="C134" s="6">
        <f>VLOOKUP(A134,fund_value_simple[],8,FALSE)</f>
        <v>0.88230945274331951</v>
      </c>
      <c r="D134" s="5">
        <f t="shared" si="6"/>
        <v>103704.3356156263</v>
      </c>
      <c r="E134">
        <v>90000</v>
      </c>
      <c r="F134" s="4">
        <f t="shared" si="7"/>
        <v>0.15227039572918116</v>
      </c>
    </row>
    <row r="135" spans="1:6" x14ac:dyDescent="0.5">
      <c r="A135" s="3">
        <v>43634</v>
      </c>
      <c r="B135">
        <v>117537.37341607724</v>
      </c>
      <c r="C135" s="6">
        <f>VLOOKUP(A135,fund_value_simple[],8,FALSE)</f>
        <v>0.8790513389882747</v>
      </c>
      <c r="D135" s="5">
        <f t="shared" si="6"/>
        <v>103321.38548256754</v>
      </c>
      <c r="E135">
        <v>90000</v>
      </c>
      <c r="F135" s="4">
        <f t="shared" si="7"/>
        <v>0.14801539425075042</v>
      </c>
    </row>
    <row r="136" spans="1:6" x14ac:dyDescent="0.5">
      <c r="A136" s="3">
        <v>43635</v>
      </c>
      <c r="B136">
        <v>117537.37341607724</v>
      </c>
      <c r="C136" s="6">
        <f>VLOOKUP(A136,fund_value_simple[],8,FALSE)</f>
        <v>0.89654885257887518</v>
      </c>
      <c r="D136" s="5">
        <f t="shared" si="6"/>
        <v>105377.99727131883</v>
      </c>
      <c r="E136">
        <v>90000</v>
      </c>
      <c r="F136" s="4">
        <f t="shared" si="7"/>
        <v>0.17086663634798702</v>
      </c>
    </row>
    <row r="137" spans="1:6" x14ac:dyDescent="0.5">
      <c r="A137" s="3">
        <v>43636</v>
      </c>
      <c r="B137">
        <v>117537.37341607724</v>
      </c>
      <c r="C137" s="6">
        <f>VLOOKUP(A137,fund_value_simple[],8,FALSE)</f>
        <v>0.91433886229949546</v>
      </c>
      <c r="D137" s="5">
        <f t="shared" si="6"/>
        <v>107468.98828692702</v>
      </c>
      <c r="E137">
        <v>90000</v>
      </c>
      <c r="F137" s="4">
        <f t="shared" si="7"/>
        <v>0.1940998698547447</v>
      </c>
    </row>
    <row r="138" spans="1:6" x14ac:dyDescent="0.5">
      <c r="A138" s="3">
        <v>43637</v>
      </c>
      <c r="B138">
        <v>117537.37341607724</v>
      </c>
      <c r="C138" s="6">
        <f>VLOOKUP(A138,fund_value_simple[],8,FALSE)</f>
        <v>0.92330950831586955</v>
      </c>
      <c r="D138" s="5">
        <f t="shared" si="6"/>
        <v>108523.37445753704</v>
      </c>
      <c r="E138">
        <v>90000</v>
      </c>
      <c r="F138" s="4">
        <f t="shared" si="7"/>
        <v>0.2058152717504115</v>
      </c>
    </row>
    <row r="139" spans="1:6" x14ac:dyDescent="0.5">
      <c r="A139" s="3">
        <v>43640</v>
      </c>
      <c r="B139">
        <v>117537.37341607724</v>
      </c>
      <c r="C139" s="6">
        <f>VLOOKUP(A139,fund_value_simple[],8,FALSE)</f>
        <v>0.92278428977477511</v>
      </c>
      <c r="D139" s="5">
        <f t="shared" si="6"/>
        <v>108461.64164974737</v>
      </c>
      <c r="E139">
        <v>90000</v>
      </c>
      <c r="F139" s="4">
        <f t="shared" si="7"/>
        <v>0.20512935166385965</v>
      </c>
    </row>
    <row r="140" spans="1:6" x14ac:dyDescent="0.5">
      <c r="A140" s="3">
        <v>43641</v>
      </c>
      <c r="B140">
        <v>117537.37341607724</v>
      </c>
      <c r="C140" s="6">
        <f>VLOOKUP(A140,fund_value_simple[],8,FALSE)</f>
        <v>0.91365254785062511</v>
      </c>
      <c r="D140" s="5">
        <f t="shared" si="6"/>
        <v>107388.32068926931</v>
      </c>
      <c r="E140">
        <v>90000</v>
      </c>
      <c r="F140" s="4">
        <f t="shared" si="7"/>
        <v>0.19320356321410348</v>
      </c>
    </row>
    <row r="141" spans="1:6" x14ac:dyDescent="0.5">
      <c r="A141" s="3">
        <v>43642</v>
      </c>
      <c r="B141">
        <v>117537.37341607724</v>
      </c>
      <c r="C141" s="6">
        <f>VLOOKUP(A141,fund_value_simple[],8,FALSE)</f>
        <v>0.91849664062177783</v>
      </c>
      <c r="D141" s="5">
        <f t="shared" si="6"/>
        <v>107957.6826301744</v>
      </c>
      <c r="E141">
        <v>90000</v>
      </c>
      <c r="F141" s="4">
        <f t="shared" si="7"/>
        <v>0.19952980700193779</v>
      </c>
    </row>
    <row r="142" spans="1:6" x14ac:dyDescent="0.5">
      <c r="A142" s="3">
        <v>43643</v>
      </c>
      <c r="B142">
        <v>117537.37341607724</v>
      </c>
      <c r="C142" s="6">
        <f>VLOOKUP(A142,fund_value_simple[],8,FALSE)</f>
        <v>0.92910730415496945</v>
      </c>
      <c r="D142" s="5">
        <f t="shared" si="6"/>
        <v>109204.83215206749</v>
      </c>
      <c r="E142">
        <v>90000</v>
      </c>
      <c r="F142" s="4">
        <f t="shared" si="7"/>
        <v>0.21338702391186104</v>
      </c>
    </row>
    <row r="143" spans="1:6" x14ac:dyDescent="0.5">
      <c r="A143" s="3">
        <v>43644</v>
      </c>
      <c r="B143">
        <v>117537.37341607724</v>
      </c>
      <c r="C143" s="6">
        <f>VLOOKUP(A143,fund_value_simple[],8,FALSE)</f>
        <v>0.92125668253537707</v>
      </c>
      <c r="D143" s="5">
        <f t="shared" ref="D143:D178" si="8">B143*C143</f>
        <v>108282.09070721714</v>
      </c>
      <c r="E143">
        <v>90000</v>
      </c>
      <c r="F143" s="4">
        <f t="shared" ref="F143:F178" si="9">(D143-E143)/E143</f>
        <v>0.20313434119130155</v>
      </c>
    </row>
    <row r="144" spans="1:6" x14ac:dyDescent="0.5">
      <c r="A144" s="3">
        <v>43647</v>
      </c>
      <c r="B144">
        <v>117537.37341607724</v>
      </c>
      <c r="C144" s="6">
        <f>VLOOKUP(A144,fund_value_simple[],8,FALSE)</f>
        <v>0.94640931052838007</v>
      </c>
      <c r="D144" s="5">
        <f t="shared" si="8"/>
        <v>111238.46453602641</v>
      </c>
      <c r="E144">
        <v>90000</v>
      </c>
      <c r="F144" s="4">
        <f t="shared" si="9"/>
        <v>0.23598293928918235</v>
      </c>
    </row>
    <row r="145" spans="1:6" x14ac:dyDescent="0.5">
      <c r="A145" s="3">
        <v>43648</v>
      </c>
      <c r="B145">
        <v>117537.37341607724</v>
      </c>
      <c r="C145" s="6">
        <f>VLOOKUP(A145,fund_value_simple[],8,FALSE)</f>
        <v>0.9450026526691081</v>
      </c>
      <c r="D145" s="5">
        <f t="shared" si="8"/>
        <v>111073.12966595251</v>
      </c>
      <c r="E145">
        <v>90000</v>
      </c>
      <c r="F145" s="4">
        <f t="shared" si="9"/>
        <v>0.23414588517725013</v>
      </c>
    </row>
    <row r="146" spans="1:6" x14ac:dyDescent="0.5">
      <c r="A146" s="3">
        <v>43649</v>
      </c>
      <c r="B146">
        <v>117537.37341607724</v>
      </c>
      <c r="C146" s="6">
        <f>VLOOKUP(A146,fund_value_simple[],8,FALSE)</f>
        <v>0.94194769308890058</v>
      </c>
      <c r="D146" s="5">
        <f t="shared" si="8"/>
        <v>110714.05774100263</v>
      </c>
      <c r="E146">
        <v>90000</v>
      </c>
      <c r="F146" s="4">
        <f t="shared" si="9"/>
        <v>0.23015619712225147</v>
      </c>
    </row>
    <row r="147" spans="1:6" x14ac:dyDescent="0.5">
      <c r="A147" s="3">
        <v>43650</v>
      </c>
      <c r="B147">
        <v>117537.37341607724</v>
      </c>
      <c r="C147" s="6">
        <f>VLOOKUP(A147,fund_value_simple[],8,FALSE)</f>
        <v>0.9406356026058702</v>
      </c>
      <c r="D147" s="5">
        <f t="shared" si="8"/>
        <v>110559.83807194301</v>
      </c>
      <c r="E147">
        <v>90000</v>
      </c>
      <c r="F147" s="4">
        <f t="shared" si="9"/>
        <v>0.22844264524381125</v>
      </c>
    </row>
    <row r="148" spans="1:6" x14ac:dyDescent="0.5">
      <c r="A148" s="3">
        <v>43651</v>
      </c>
      <c r="B148">
        <v>117537.37341607724</v>
      </c>
      <c r="C148" s="6">
        <f>VLOOKUP(A148,fund_value_simple[],8,FALSE)</f>
        <v>0.94345159475959106</v>
      </c>
      <c r="D148" s="5">
        <f t="shared" si="8"/>
        <v>110890.82239325164</v>
      </c>
      <c r="E148">
        <v>90000</v>
      </c>
      <c r="F148" s="4">
        <f t="shared" si="9"/>
        <v>0.23212024881390714</v>
      </c>
    </row>
    <row r="149" spans="1:6" x14ac:dyDescent="0.5">
      <c r="A149" s="3">
        <v>43654</v>
      </c>
      <c r="B149">
        <v>117537.37341607724</v>
      </c>
      <c r="C149" s="6">
        <f>VLOOKUP(A149,fund_value_simple[],8,FALSE)</f>
        <v>0.91514408693978555</v>
      </c>
      <c r="D149" s="5">
        <f t="shared" si="8"/>
        <v>107563.63227615663</v>
      </c>
      <c r="E149">
        <v>90000</v>
      </c>
      <c r="F149" s="4">
        <f t="shared" si="9"/>
        <v>0.19515146973507363</v>
      </c>
    </row>
    <row r="150" spans="1:6" x14ac:dyDescent="0.5">
      <c r="A150" s="3">
        <v>43655</v>
      </c>
      <c r="B150">
        <v>117537.37341607724</v>
      </c>
      <c r="C150" s="6">
        <f>VLOOKUP(A150,fund_value_simple[],8,FALSE)</f>
        <v>0.91635727677057366</v>
      </c>
      <c r="D150" s="5">
        <f t="shared" si="8"/>
        <v>107706.22742232257</v>
      </c>
      <c r="E150">
        <v>90000</v>
      </c>
      <c r="F150" s="4">
        <f t="shared" si="9"/>
        <v>0.19673586024802853</v>
      </c>
    </row>
    <row r="151" spans="1:6" x14ac:dyDescent="0.5">
      <c r="A151" s="3">
        <v>43656</v>
      </c>
      <c r="B151">
        <v>117537.37341607724</v>
      </c>
      <c r="C151" s="6">
        <f>VLOOKUP(A151,fund_value_simple[],8,FALSE)</f>
        <v>0.9174259391018228</v>
      </c>
      <c r="D151" s="5">
        <f t="shared" si="8"/>
        <v>107831.83518580628</v>
      </c>
      <c r="E151">
        <v>90000</v>
      </c>
      <c r="F151" s="4">
        <f t="shared" si="9"/>
        <v>0.19813150206451424</v>
      </c>
    </row>
    <row r="152" spans="1:6" x14ac:dyDescent="0.5">
      <c r="A152" s="3">
        <v>43657</v>
      </c>
      <c r="B152">
        <v>117537.37341607724</v>
      </c>
      <c r="C152" s="6">
        <f>VLOOKUP(A152,fund_value_simple[],8,FALSE)</f>
        <v>0.91531525134179703</v>
      </c>
      <c r="D152" s="5">
        <f t="shared" si="8"/>
        <v>107583.75049039139</v>
      </c>
      <c r="E152">
        <v>90000</v>
      </c>
      <c r="F152" s="4">
        <f t="shared" si="9"/>
        <v>0.19537500544879327</v>
      </c>
    </row>
    <row r="153" spans="1:6" x14ac:dyDescent="0.5">
      <c r="A153" s="3">
        <v>43658</v>
      </c>
      <c r="B153">
        <v>117537.37341607724</v>
      </c>
      <c r="C153" s="6">
        <f>VLOOKUP(A153,fund_value_simple[],8,FALSE)</f>
        <v>0.91855412025342897</v>
      </c>
      <c r="D153" s="5">
        <f t="shared" si="8"/>
        <v>107964.43863510361</v>
      </c>
      <c r="E153">
        <v>90000</v>
      </c>
      <c r="F153" s="4">
        <f t="shared" si="9"/>
        <v>0.19960487372337343</v>
      </c>
    </row>
    <row r="154" spans="1:6" x14ac:dyDescent="0.5">
      <c r="A154" s="3">
        <v>43661</v>
      </c>
      <c r="B154">
        <v>117537.37341607724</v>
      </c>
      <c r="C154" s="6">
        <f>VLOOKUP(A154,fund_value_simple[],8,FALSE)</f>
        <v>0.93145683189218798</v>
      </c>
      <c r="D154" s="5">
        <f t="shared" si="8"/>
        <v>109480.98947106839</v>
      </c>
      <c r="E154">
        <v>90000</v>
      </c>
      <c r="F154" s="4">
        <f t="shared" si="9"/>
        <v>0.21645543856742652</v>
      </c>
    </row>
    <row r="155" spans="1:6" x14ac:dyDescent="0.5">
      <c r="A155" s="3">
        <v>43662</v>
      </c>
      <c r="B155">
        <v>117537.37341607724</v>
      </c>
      <c r="C155" s="6">
        <f>VLOOKUP(A155,fund_value_simple[],8,FALSE)</f>
        <v>0.93177175909797405</v>
      </c>
      <c r="D155" s="5">
        <f t="shared" si="8"/>
        <v>109518.00518765375</v>
      </c>
      <c r="E155">
        <v>90000</v>
      </c>
      <c r="F155" s="4">
        <f t="shared" si="9"/>
        <v>0.21686672430726386</v>
      </c>
    </row>
    <row r="156" spans="1:6" x14ac:dyDescent="0.5">
      <c r="A156" s="3">
        <v>43663</v>
      </c>
      <c r="B156">
        <v>117537.37341607724</v>
      </c>
      <c r="C156" s="6">
        <f>VLOOKUP(A156,fund_value_simple[],8,FALSE)</f>
        <v>0.93699503900901115</v>
      </c>
      <c r="D156" s="5">
        <f t="shared" si="8"/>
        <v>110131.93578901401</v>
      </c>
      <c r="E156">
        <v>90000</v>
      </c>
      <c r="F156" s="4">
        <f t="shared" si="9"/>
        <v>0.22368817543348898</v>
      </c>
    </row>
    <row r="157" spans="1:6" x14ac:dyDescent="0.5">
      <c r="A157" s="3">
        <v>43664</v>
      </c>
      <c r="B157">
        <v>117537.37341607724</v>
      </c>
      <c r="C157" s="6">
        <f>VLOOKUP(A157,fund_value_simple[],8,FALSE)</f>
        <v>0.92197954316095188</v>
      </c>
      <c r="D157" s="5">
        <f t="shared" si="8"/>
        <v>108367.0538464931</v>
      </c>
      <c r="E157">
        <v>90000</v>
      </c>
      <c r="F157" s="4">
        <f t="shared" si="9"/>
        <v>0.20407837607214557</v>
      </c>
    </row>
    <row r="158" spans="1:6" x14ac:dyDescent="0.5">
      <c r="A158" s="3">
        <v>43665</v>
      </c>
      <c r="B158">
        <v>117537.37341607724</v>
      </c>
      <c r="C158" s="6">
        <f>VLOOKUP(A158,fund_value_simple[],8,FALSE)</f>
        <v>0.92827433873341947</v>
      </c>
      <c r="D158" s="5">
        <f t="shared" si="8"/>
        <v>109106.9275842721</v>
      </c>
      <c r="E158">
        <v>90000</v>
      </c>
      <c r="F158" s="4">
        <f t="shared" si="9"/>
        <v>0.21229919538080108</v>
      </c>
    </row>
    <row r="159" spans="1:6" x14ac:dyDescent="0.5">
      <c r="A159" s="3">
        <v>43668</v>
      </c>
      <c r="B159">
        <v>117537.37341607724</v>
      </c>
      <c r="C159" s="6">
        <f>VLOOKUP(A159,fund_value_simple[],8,FALSE)</f>
        <v>0.91255011230471927</v>
      </c>
      <c r="D159" s="5">
        <f t="shared" si="8"/>
        <v>107258.74331084301</v>
      </c>
      <c r="E159">
        <v>90000</v>
      </c>
      <c r="F159" s="4">
        <f t="shared" si="9"/>
        <v>0.19176381456492236</v>
      </c>
    </row>
    <row r="160" spans="1:6" x14ac:dyDescent="0.5">
      <c r="A160" s="3">
        <v>43669</v>
      </c>
      <c r="B160">
        <v>117537.37341607724</v>
      </c>
      <c r="C160" s="6">
        <f>VLOOKUP(A160,fund_value_simple[],8,FALSE)</f>
        <v>0.93014548627278293</v>
      </c>
      <c r="D160" s="5">
        <f t="shared" si="8"/>
        <v>109326.85735132283</v>
      </c>
      <c r="E160">
        <v>90000</v>
      </c>
      <c r="F160" s="4">
        <f t="shared" si="9"/>
        <v>0.21474285945914259</v>
      </c>
    </row>
    <row r="161" spans="1:6" x14ac:dyDescent="0.5">
      <c r="A161" s="3">
        <v>43670</v>
      </c>
      <c r="B161">
        <v>117537.37341607724</v>
      </c>
      <c r="C161" s="6">
        <f>VLOOKUP(A161,fund_value_simple[],8,FALSE)</f>
        <v>0.94695267278999717</v>
      </c>
      <c r="D161" s="5">
        <f t="shared" si="8"/>
        <v>111302.32990907031</v>
      </c>
      <c r="E161">
        <v>90000</v>
      </c>
      <c r="F161" s="4">
        <f t="shared" si="9"/>
        <v>0.23669255454522564</v>
      </c>
    </row>
    <row r="162" spans="1:6" x14ac:dyDescent="0.5">
      <c r="A162" s="3">
        <v>43671</v>
      </c>
      <c r="B162">
        <v>117537.37341607724</v>
      </c>
      <c r="C162" s="6">
        <f>VLOOKUP(A162,fund_value_simple[],8,FALSE)</f>
        <v>0.95683105554758874</v>
      </c>
      <c r="D162" s="5">
        <f t="shared" si="8"/>
        <v>112463.40907199628</v>
      </c>
      <c r="E162">
        <v>90000</v>
      </c>
      <c r="F162" s="4">
        <f t="shared" si="9"/>
        <v>0.24959343413329205</v>
      </c>
    </row>
    <row r="163" spans="1:6" x14ac:dyDescent="0.5">
      <c r="A163" s="3">
        <v>43672</v>
      </c>
      <c r="B163">
        <v>117537.37341607724</v>
      </c>
      <c r="C163" s="6">
        <f>VLOOKUP(A163,fund_value_simple[],8,FALSE)</f>
        <v>0.9610286837789086</v>
      </c>
      <c r="D163" s="5">
        <f t="shared" si="8"/>
        <v>112956.78726888279</v>
      </c>
      <c r="E163">
        <v>90000</v>
      </c>
      <c r="F163" s="4">
        <f t="shared" si="9"/>
        <v>0.25507541409869766</v>
      </c>
    </row>
    <row r="164" spans="1:6" x14ac:dyDescent="0.5">
      <c r="A164" s="3">
        <v>43675</v>
      </c>
      <c r="B164">
        <v>117537.37341607724</v>
      </c>
      <c r="C164" s="6">
        <f>VLOOKUP(A164,fund_value_simple[],8,FALSE)</f>
        <v>0.96619152772112771</v>
      </c>
      <c r="D164" s="5">
        <f t="shared" si="8"/>
        <v>113563.61438520833</v>
      </c>
      <c r="E164">
        <v>90000</v>
      </c>
      <c r="F164" s="4">
        <f t="shared" si="9"/>
        <v>0.26181793761342592</v>
      </c>
    </row>
    <row r="165" spans="1:6" x14ac:dyDescent="0.5">
      <c r="A165" s="3">
        <v>43676</v>
      </c>
      <c r="B165">
        <v>117537.37341607724</v>
      </c>
      <c r="C165" s="6">
        <f>VLOOKUP(A165,fund_value_simple[],8,FALSE)</f>
        <v>0.96270921716849733</v>
      </c>
      <c r="D165" s="5">
        <f t="shared" si="8"/>
        <v>113154.31274943307</v>
      </c>
      <c r="E165">
        <v>90000</v>
      </c>
      <c r="F165" s="4">
        <f t="shared" si="9"/>
        <v>0.25727014166036744</v>
      </c>
    </row>
    <row r="166" spans="1:6" x14ac:dyDescent="0.5">
      <c r="A166" s="3">
        <v>43677</v>
      </c>
      <c r="B166">
        <v>117537.37341607724</v>
      </c>
      <c r="C166" s="6">
        <f>VLOOKUP(A166,fund_value_simple[],8,FALSE)</f>
        <v>0.96547065217845973</v>
      </c>
      <c r="D166" s="5">
        <f t="shared" si="8"/>
        <v>113478.88456736325</v>
      </c>
      <c r="E166">
        <v>90000</v>
      </c>
      <c r="F166" s="4">
        <f t="shared" si="9"/>
        <v>0.26087649519292494</v>
      </c>
    </row>
    <row r="167" spans="1:6" x14ac:dyDescent="0.5">
      <c r="A167" s="3">
        <v>43678</v>
      </c>
      <c r="B167">
        <v>117537.37341607724</v>
      </c>
      <c r="C167" s="6">
        <f>VLOOKUP(A167,fund_value_simple[],8,FALSE)</f>
        <v>0.95747782623721245</v>
      </c>
      <c r="D167" s="5">
        <f t="shared" si="8"/>
        <v>112539.42880005715</v>
      </c>
      <c r="E167">
        <v>90000</v>
      </c>
      <c r="F167" s="4">
        <f t="shared" si="9"/>
        <v>0.2504380977784128</v>
      </c>
    </row>
    <row r="168" spans="1:6" x14ac:dyDescent="0.5">
      <c r="A168" s="3">
        <v>43679</v>
      </c>
      <c r="B168">
        <v>117537.37341607724</v>
      </c>
      <c r="C168" s="6">
        <f>VLOOKUP(A168,fund_value_simple[],8,FALSE)</f>
        <v>0.9438645588861988</v>
      </c>
      <c r="D168" s="5">
        <f t="shared" si="8"/>
        <v>110939.36111200818</v>
      </c>
      <c r="E168">
        <v>90000</v>
      </c>
      <c r="F168" s="4">
        <f t="shared" si="9"/>
        <v>0.23265956791120196</v>
      </c>
    </row>
    <row r="169" spans="1:6" x14ac:dyDescent="0.5">
      <c r="A169" s="3">
        <v>43682</v>
      </c>
      <c r="B169">
        <v>117537.37341607724</v>
      </c>
      <c r="C169" s="6">
        <f>VLOOKUP(A169,fund_value_simple[],8,FALSE)</f>
        <v>0.93655535021428293</v>
      </c>
      <c r="D169" s="5">
        <f t="shared" si="8"/>
        <v>110080.25592296117</v>
      </c>
      <c r="E169">
        <v>90000</v>
      </c>
      <c r="F169" s="4">
        <f t="shared" si="9"/>
        <v>0.22311395469956849</v>
      </c>
    </row>
    <row r="170" spans="1:6" x14ac:dyDescent="0.5">
      <c r="A170" s="3">
        <v>43683</v>
      </c>
      <c r="B170">
        <v>117537.37341607724</v>
      </c>
      <c r="C170" s="6">
        <f>VLOOKUP(A170,fund_value_simple[],8,FALSE)</f>
        <v>0.91515036925931093</v>
      </c>
      <c r="D170" s="5">
        <f t="shared" si="8"/>
        <v>107564.37068349261</v>
      </c>
      <c r="E170">
        <v>90000</v>
      </c>
      <c r="F170" s="4">
        <f t="shared" si="9"/>
        <v>0.19515967426102904</v>
      </c>
    </row>
    <row r="171" spans="1:6" x14ac:dyDescent="0.5">
      <c r="A171" s="3">
        <v>43684</v>
      </c>
      <c r="B171">
        <v>117537.37341607724</v>
      </c>
      <c r="C171" s="6">
        <f>VLOOKUP(A171,fund_value_simple[],8,FALSE)</f>
        <v>0.90030963735634717</v>
      </c>
      <c r="D171" s="5">
        <f t="shared" si="8"/>
        <v>105820.03003604607</v>
      </c>
      <c r="E171">
        <v>90000</v>
      </c>
      <c r="F171" s="4">
        <f t="shared" si="9"/>
        <v>0.17577811151162298</v>
      </c>
    </row>
    <row r="172" spans="1:6" x14ac:dyDescent="0.5">
      <c r="A172" s="3">
        <v>43685</v>
      </c>
      <c r="B172">
        <v>117537.37341607724</v>
      </c>
      <c r="C172" s="6">
        <f>VLOOKUP(A172,fund_value_simple[],8,FALSE)</f>
        <v>0.92122696720892649</v>
      </c>
      <c r="D172" s="5">
        <f t="shared" si="8"/>
        <v>108278.59804579594</v>
      </c>
      <c r="E172">
        <v>90000</v>
      </c>
      <c r="F172" s="4">
        <f t="shared" si="9"/>
        <v>0.20309553384217707</v>
      </c>
    </row>
    <row r="173" spans="1:6" x14ac:dyDescent="0.5">
      <c r="A173" s="3">
        <v>43686</v>
      </c>
      <c r="B173">
        <v>117537.37341607724</v>
      </c>
      <c r="C173" s="6">
        <f>VLOOKUP(A173,fund_value_simple[],8,FALSE)</f>
        <v>0.9068158376068044</v>
      </c>
      <c r="D173" s="5">
        <f t="shared" si="8"/>
        <v>106584.75172440383</v>
      </c>
      <c r="E173">
        <v>90000</v>
      </c>
      <c r="F173" s="4">
        <f t="shared" si="9"/>
        <v>0.18427501916004257</v>
      </c>
    </row>
    <row r="174" spans="1:6" x14ac:dyDescent="0.5">
      <c r="A174" s="3">
        <v>43689</v>
      </c>
      <c r="B174">
        <v>117537.37341607724</v>
      </c>
      <c r="C174" s="6">
        <f>VLOOKUP(A174,fund_value_simple[],8,FALSE)</f>
        <v>0.930544211551523</v>
      </c>
      <c r="D174" s="5">
        <f t="shared" si="8"/>
        <v>109373.72247330054</v>
      </c>
      <c r="E174">
        <v>90000</v>
      </c>
      <c r="F174" s="4">
        <f t="shared" si="9"/>
        <v>0.2152635830366727</v>
      </c>
    </row>
    <row r="175" spans="1:6" x14ac:dyDescent="0.5">
      <c r="A175" s="3">
        <v>43690</v>
      </c>
      <c r="B175">
        <v>117537.37341607724</v>
      </c>
      <c r="C175" s="6">
        <f>VLOOKUP(A175,fund_value_simple[],8,FALSE)</f>
        <v>0.92440956480035608</v>
      </c>
      <c r="D175" s="5">
        <f t="shared" si="8"/>
        <v>108652.6722073329</v>
      </c>
      <c r="E175">
        <v>90000</v>
      </c>
      <c r="F175" s="4">
        <f t="shared" si="9"/>
        <v>0.20725191341481</v>
      </c>
    </row>
    <row r="176" spans="1:6" x14ac:dyDescent="0.5">
      <c r="A176" s="3">
        <v>43691</v>
      </c>
      <c r="B176">
        <v>117537.37341607724</v>
      </c>
      <c r="C176" s="6">
        <f>VLOOKUP(A176,fund_value_simple[],8,FALSE)</f>
        <v>0.93176797086082053</v>
      </c>
      <c r="D176" s="5">
        <f t="shared" si="8"/>
        <v>109517.55992820884</v>
      </c>
      <c r="E176">
        <v>90000</v>
      </c>
      <c r="F176" s="4">
        <f t="shared" si="9"/>
        <v>0.21686177698009818</v>
      </c>
    </row>
    <row r="177" spans="1:6" x14ac:dyDescent="0.5">
      <c r="A177" s="3">
        <v>43692</v>
      </c>
      <c r="B177">
        <v>117537.37341607724</v>
      </c>
      <c r="C177" s="6">
        <f>VLOOKUP(A177,fund_value_simple[],8,FALSE)</f>
        <v>0.93871859438272853</v>
      </c>
      <c r="D177" s="5">
        <f t="shared" si="8"/>
        <v>110334.51796057791</v>
      </c>
      <c r="E177">
        <v>90000</v>
      </c>
      <c r="F177" s="4">
        <f t="shared" si="9"/>
        <v>0.22593908845086569</v>
      </c>
    </row>
    <row r="178" spans="1:6" x14ac:dyDescent="0.5">
      <c r="A178" s="3">
        <v>43693</v>
      </c>
      <c r="B178">
        <v>117537.37341607724</v>
      </c>
      <c r="C178" s="6">
        <f>VLOOKUP(A178,fund_value_simple[],8,FALSE)</f>
        <v>0.9418324391382783</v>
      </c>
      <c r="D178" s="5">
        <f t="shared" si="8"/>
        <v>110700.51109437065</v>
      </c>
      <c r="E178">
        <v>90000</v>
      </c>
      <c r="F178" s="4">
        <f t="shared" si="9"/>
        <v>0.2300056788263406</v>
      </c>
    </row>
    <row r="179" spans="1:6" x14ac:dyDescent="0.5">
      <c r="A179" s="3">
        <v>43696</v>
      </c>
      <c r="B179">
        <v>117537.37341607724</v>
      </c>
      <c r="C179" s="6">
        <f>VLOOKUP(A179,fund_value_simple[],8,FALSE)</f>
        <v>0.97695278746401415</v>
      </c>
      <c r="D179" s="5">
        <f t="shared" ref="D179:D185" si="10">B179*C179</f>
        <v>114828.46459003538</v>
      </c>
      <c r="E179">
        <v>90000</v>
      </c>
      <c r="F179" s="4">
        <f t="shared" ref="F179:F242" si="11">(D179-E179)/E179</f>
        <v>0.2758718287781709</v>
      </c>
    </row>
    <row r="180" spans="1:6" x14ac:dyDescent="0.5">
      <c r="A180" s="3">
        <v>43697</v>
      </c>
      <c r="B180">
        <v>117537.37341607724</v>
      </c>
      <c r="C180" s="6">
        <f>VLOOKUP(A180,fund_value_simple[],8,FALSE)</f>
        <v>0.97630807524253049</v>
      </c>
      <c r="D180" s="5">
        <f t="shared" si="10"/>
        <v>114752.68680891294</v>
      </c>
      <c r="E180">
        <v>90000</v>
      </c>
      <c r="F180" s="4">
        <f t="shared" si="11"/>
        <v>0.27502985343236602</v>
      </c>
    </row>
    <row r="181" spans="1:6" x14ac:dyDescent="0.5">
      <c r="A181" s="3">
        <v>43698</v>
      </c>
      <c r="B181">
        <v>117537.37341607724</v>
      </c>
      <c r="C181" s="6">
        <f>VLOOKUP(A181,fund_value_simple[],8,FALSE)</f>
        <v>0.97935934256662094</v>
      </c>
      <c r="D181" s="5">
        <f t="shared" si="10"/>
        <v>115111.32475577683</v>
      </c>
      <c r="E181">
        <v>90000</v>
      </c>
      <c r="F181" s="4">
        <f t="shared" si="11"/>
        <v>0.27901471950863149</v>
      </c>
    </row>
    <row r="182" spans="1:6" x14ac:dyDescent="0.5">
      <c r="A182" s="3">
        <v>43699</v>
      </c>
      <c r="B182">
        <v>117537.37341607724</v>
      </c>
      <c r="C182" s="6">
        <f>VLOOKUP(A182,fund_value_simple[],8,FALSE)</f>
        <v>0.9842332494054995</v>
      </c>
      <c r="D182" s="5">
        <f t="shared" si="10"/>
        <v>115684.19096389328</v>
      </c>
      <c r="E182">
        <v>90000</v>
      </c>
      <c r="F182" s="4">
        <f t="shared" si="11"/>
        <v>0.28537989959881427</v>
      </c>
    </row>
    <row r="183" spans="1:6" x14ac:dyDescent="0.5">
      <c r="A183" s="3">
        <v>43700</v>
      </c>
      <c r="B183">
        <v>117537.37341607724</v>
      </c>
      <c r="C183" s="6">
        <f>VLOOKUP(A183,fund_value_simple[],8,FALSE)</f>
        <v>0.97866684068718379</v>
      </c>
      <c r="D183" s="5">
        <f t="shared" si="10"/>
        <v>115029.9299037821</v>
      </c>
      <c r="E183">
        <v>90000</v>
      </c>
      <c r="F183" s="4">
        <f t="shared" si="11"/>
        <v>0.27811033226424559</v>
      </c>
    </row>
    <row r="184" spans="1:6" x14ac:dyDescent="0.5">
      <c r="A184" s="3">
        <v>43703</v>
      </c>
      <c r="B184">
        <v>117537.37341607724</v>
      </c>
      <c r="C184" s="6">
        <f>VLOOKUP(A184,fund_value_simple[],8,FALSE)</f>
        <v>0.97607703176652505</v>
      </c>
      <c r="D184" s="5">
        <f t="shared" si="10"/>
        <v>114725.53056559834</v>
      </c>
      <c r="E184">
        <v>90000</v>
      </c>
      <c r="F184" s="4">
        <f t="shared" si="11"/>
        <v>0.2747281173955371</v>
      </c>
    </row>
    <row r="185" spans="1:6" x14ac:dyDescent="0.5">
      <c r="A185" s="3">
        <v>43704</v>
      </c>
      <c r="B185">
        <v>117537.37341607724</v>
      </c>
      <c r="C185" s="6">
        <f>VLOOKUP(A185,fund_value_simple[],8,FALSE)</f>
        <v>0.99422904977219195</v>
      </c>
      <c r="D185" s="5">
        <f t="shared" si="10"/>
        <v>116859.07108418578</v>
      </c>
      <c r="E185">
        <v>90000</v>
      </c>
      <c r="F185" s="4">
        <f t="shared" si="11"/>
        <v>0.2984341231576198</v>
      </c>
    </row>
    <row r="186" spans="1:6" x14ac:dyDescent="0.5">
      <c r="A186" s="3">
        <v>43705</v>
      </c>
      <c r="B186">
        <v>117537.37341607724</v>
      </c>
      <c r="C186" s="6">
        <f>VLOOKUP(A186,fund_value_simple[],8,FALSE)</f>
        <v>0.9929864579709754</v>
      </c>
      <c r="D186" s="5">
        <f t="shared" ref="D186:D249" si="12">B186*C186</f>
        <v>116713.02010764243</v>
      </c>
      <c r="E186">
        <v>90000</v>
      </c>
      <c r="F186" s="4">
        <f t="shared" si="11"/>
        <v>0.29681133452936032</v>
      </c>
    </row>
    <row r="187" spans="1:6" x14ac:dyDescent="0.5">
      <c r="A187" s="3">
        <v>43706</v>
      </c>
      <c r="B187">
        <v>117537.37341607724</v>
      </c>
      <c r="C187" s="6">
        <f>VLOOKUP(A187,fund_value_simple[],8,FALSE)</f>
        <v>0.9978439150281988</v>
      </c>
      <c r="D187" s="5">
        <f t="shared" si="12"/>
        <v>117283.95285162986</v>
      </c>
      <c r="E187">
        <v>90000</v>
      </c>
      <c r="F187" s="4">
        <f t="shared" si="11"/>
        <v>0.3031550316847762</v>
      </c>
    </row>
    <row r="188" spans="1:6" x14ac:dyDescent="0.5">
      <c r="A188" s="3">
        <v>43707</v>
      </c>
      <c r="B188">
        <v>117537.37341607724</v>
      </c>
      <c r="C188" s="6">
        <f>VLOOKUP(A188,fund_value_simple[],8,FALSE)</f>
        <v>1.0040578389836152</v>
      </c>
      <c r="D188" s="5">
        <f t="shared" si="12"/>
        <v>118014.32115195674</v>
      </c>
      <c r="E188">
        <v>90000</v>
      </c>
      <c r="F188" s="4">
        <f t="shared" si="11"/>
        <v>0.31127023502174156</v>
      </c>
    </row>
    <row r="189" spans="1:6" x14ac:dyDescent="0.5">
      <c r="A189" s="3">
        <v>43710</v>
      </c>
      <c r="B189">
        <v>117537.37341607724</v>
      </c>
      <c r="C189" s="6">
        <f>VLOOKUP(A189,fund_value_simple[],8,FALSE)</f>
        <v>1.0317176816908618</v>
      </c>
      <c r="D189" s="5">
        <f t="shared" si="12"/>
        <v>121265.38641286833</v>
      </c>
      <c r="E189">
        <v>90000</v>
      </c>
      <c r="F189" s="4">
        <f t="shared" si="11"/>
        <v>0.34739318236520372</v>
      </c>
    </row>
    <row r="190" spans="1:6" x14ac:dyDescent="0.5">
      <c r="A190" s="3">
        <v>43711</v>
      </c>
      <c r="B190">
        <v>117537.37341607724</v>
      </c>
      <c r="C190" s="6">
        <f>VLOOKUP(A190,fund_value_simple[],8,FALSE)</f>
        <v>1.038640814727819</v>
      </c>
      <c r="D190" s="5">
        <f t="shared" si="12"/>
        <v>122079.11328584237</v>
      </c>
      <c r="E190">
        <v>90000</v>
      </c>
      <c r="F190" s="4">
        <f t="shared" si="11"/>
        <v>0.35643459206491518</v>
      </c>
    </row>
    <row r="191" spans="1:6" x14ac:dyDescent="0.5">
      <c r="A191" s="3">
        <v>43712</v>
      </c>
      <c r="B191">
        <v>117537.37341607724</v>
      </c>
      <c r="C191" s="6">
        <f>VLOOKUP(A191,fund_value_simple[],8,FALSE)</f>
        <v>1.0458557825400772</v>
      </c>
      <c r="D191" s="5">
        <f t="shared" si="12"/>
        <v>122927.14165177672</v>
      </c>
      <c r="E191">
        <v>90000</v>
      </c>
      <c r="F191" s="4">
        <f t="shared" si="11"/>
        <v>0.3658571294641858</v>
      </c>
    </row>
    <row r="192" spans="1:6" x14ac:dyDescent="0.5">
      <c r="A192" s="3">
        <v>43713</v>
      </c>
      <c r="B192">
        <v>117537.37341607724</v>
      </c>
      <c r="C192" s="6">
        <f>VLOOKUP(A192,fund_value_simple[],8,FALSE)</f>
        <v>1.0518791119642088</v>
      </c>
      <c r="D192" s="5">
        <f t="shared" si="12"/>
        <v>123635.10797150893</v>
      </c>
      <c r="E192">
        <v>90000</v>
      </c>
      <c r="F192" s="4">
        <f t="shared" si="11"/>
        <v>0.37372342190565477</v>
      </c>
    </row>
    <row r="193" spans="1:6" x14ac:dyDescent="0.5">
      <c r="A193" s="3">
        <v>43714</v>
      </c>
      <c r="B193">
        <v>117537.37341607724</v>
      </c>
      <c r="C193" s="6">
        <f>VLOOKUP(A193,fund_value_simple[],8,FALSE)</f>
        <v>1.0548769798456639</v>
      </c>
      <c r="D193" s="5">
        <f t="shared" si="12"/>
        <v>123987.46948814359</v>
      </c>
      <c r="E193">
        <v>90000</v>
      </c>
      <c r="F193" s="4">
        <f t="shared" si="11"/>
        <v>0.37763854986826206</v>
      </c>
    </row>
    <row r="194" spans="1:6" x14ac:dyDescent="0.5">
      <c r="A194" s="3">
        <v>43717</v>
      </c>
      <c r="B194">
        <v>117537.37341607724</v>
      </c>
      <c r="C194" s="6">
        <f>VLOOKUP(A194,fund_value_simple[],8,FALSE)</f>
        <v>1.0667198069464516</v>
      </c>
      <c r="D194" s="5">
        <f t="shared" si="12"/>
        <v>125379.44427939091</v>
      </c>
      <c r="E194">
        <v>90000</v>
      </c>
      <c r="F194" s="4">
        <f t="shared" si="11"/>
        <v>0.3931049364376768</v>
      </c>
    </row>
    <row r="195" spans="1:6" x14ac:dyDescent="0.5">
      <c r="A195" s="3">
        <v>43718</v>
      </c>
      <c r="B195">
        <v>117537.37341607724</v>
      </c>
      <c r="C195" s="6">
        <f>VLOOKUP(A195,fund_value_simple[],8,FALSE)</f>
        <v>1.0612311731451445</v>
      </c>
      <c r="D195" s="5">
        <f t="shared" si="12"/>
        <v>124734.32467874257</v>
      </c>
      <c r="E195">
        <v>90000</v>
      </c>
      <c r="F195" s="4">
        <f t="shared" si="11"/>
        <v>0.38593694087491748</v>
      </c>
    </row>
    <row r="196" spans="1:6" x14ac:dyDescent="0.5">
      <c r="A196" s="3">
        <v>43719</v>
      </c>
      <c r="B196">
        <v>117537.37341607724</v>
      </c>
      <c r="C196" s="6">
        <f>VLOOKUP(A196,fund_value_simple[],8,FALSE)</f>
        <v>1.0570814648987765</v>
      </c>
      <c r="D196" s="5">
        <f t="shared" si="12"/>
        <v>124246.57887102144</v>
      </c>
      <c r="E196">
        <v>90000</v>
      </c>
      <c r="F196" s="4">
        <f t="shared" si="11"/>
        <v>0.38051754301134932</v>
      </c>
    </row>
    <row r="197" spans="1:6" x14ac:dyDescent="0.5">
      <c r="A197" s="3">
        <v>43720</v>
      </c>
      <c r="B197">
        <v>117537.37341607724</v>
      </c>
      <c r="C197" s="6">
        <f>VLOOKUP(A197,fund_value_simple[],8,FALSE)</f>
        <v>1.0579478603689154</v>
      </c>
      <c r="D197" s="5">
        <f t="shared" si="12"/>
        <v>124348.41271892116</v>
      </c>
      <c r="E197">
        <v>90000</v>
      </c>
      <c r="F197" s="4">
        <f t="shared" si="11"/>
        <v>0.38164903021023511</v>
      </c>
    </row>
    <row r="198" spans="1:6" x14ac:dyDescent="0.5">
      <c r="A198" s="3">
        <v>43724</v>
      </c>
      <c r="B198">
        <v>117537.37341607724</v>
      </c>
      <c r="C198" s="6">
        <f>VLOOKUP(A198,fund_value_simple[],8,FALSE)</f>
        <v>1.0576832588717628</v>
      </c>
      <c r="D198" s="5">
        <f t="shared" si="12"/>
        <v>124317.31215394389</v>
      </c>
      <c r="E198">
        <v>90000</v>
      </c>
      <c r="F198" s="4">
        <f t="shared" si="11"/>
        <v>0.38130346837715429</v>
      </c>
    </row>
    <row r="199" spans="1:6" x14ac:dyDescent="0.5">
      <c r="A199" s="3">
        <v>43725</v>
      </c>
      <c r="B199">
        <v>117537.37341607724</v>
      </c>
      <c r="C199" s="6">
        <f>VLOOKUP(A199,fund_value_simple[],8,FALSE)</f>
        <v>1.0535670417682392</v>
      </c>
      <c r="D199" s="5">
        <f t="shared" si="12"/>
        <v>123833.50280718539</v>
      </c>
      <c r="E199">
        <v>90000</v>
      </c>
      <c r="F199" s="4">
        <f t="shared" si="11"/>
        <v>0.37592780896872652</v>
      </c>
    </row>
    <row r="200" spans="1:6" x14ac:dyDescent="0.5">
      <c r="A200" s="3">
        <v>43726</v>
      </c>
      <c r="B200">
        <v>117537.37341607724</v>
      </c>
      <c r="C200" s="6">
        <f>VLOOKUP(A200,fund_value_simple[],8,FALSE)</f>
        <v>1.0532515863322325</v>
      </c>
      <c r="D200" s="5">
        <f t="shared" si="12"/>
        <v>123796.42500380732</v>
      </c>
      <c r="E200">
        <v>90000</v>
      </c>
      <c r="F200" s="4">
        <f t="shared" si="11"/>
        <v>0.37551583337563693</v>
      </c>
    </row>
    <row r="201" spans="1:6" x14ac:dyDescent="0.5">
      <c r="A201" s="3">
        <v>43727</v>
      </c>
      <c r="B201">
        <v>117537.37341607724</v>
      </c>
      <c r="C201" s="6">
        <f>VLOOKUP(A201,fund_value_simple[],8,FALSE)</f>
        <v>1.0563135838400013</v>
      </c>
      <c r="D201" s="5">
        <f t="shared" si="12"/>
        <v>124156.32414827705</v>
      </c>
      <c r="E201">
        <v>90000</v>
      </c>
      <c r="F201" s="4">
        <f t="shared" si="11"/>
        <v>0.37951471275863391</v>
      </c>
    </row>
    <row r="202" spans="1:6" x14ac:dyDescent="0.5">
      <c r="A202" s="3">
        <v>43728</v>
      </c>
      <c r="B202">
        <v>117537.37341607724</v>
      </c>
      <c r="C202" s="6">
        <f>VLOOKUP(A202,fund_value_simple[],8,FALSE)</f>
        <v>1.0588240643428282</v>
      </c>
      <c r="D202" s="5">
        <f t="shared" si="12"/>
        <v>124451.3994325916</v>
      </c>
      <c r="E202">
        <v>90000</v>
      </c>
      <c r="F202" s="4">
        <f t="shared" si="11"/>
        <v>0.38279332702879554</v>
      </c>
    </row>
    <row r="203" spans="1:6" x14ac:dyDescent="0.5">
      <c r="A203" s="3">
        <v>43731</v>
      </c>
      <c r="B203">
        <v>117537.37341607724</v>
      </c>
      <c r="C203" s="6">
        <f>VLOOKUP(A203,fund_value_simple[],8,FALSE)</f>
        <v>1.0623411710585291</v>
      </c>
      <c r="D203" s="5">
        <f t="shared" si="12"/>
        <v>124864.79091797913</v>
      </c>
      <c r="E203">
        <v>90000</v>
      </c>
      <c r="F203" s="4">
        <f t="shared" si="11"/>
        <v>0.38738656575532371</v>
      </c>
    </row>
    <row r="204" spans="1:6" x14ac:dyDescent="0.5">
      <c r="A204" s="3">
        <v>43732</v>
      </c>
      <c r="B204">
        <v>117537.37341607724</v>
      </c>
      <c r="C204" s="6">
        <f>VLOOKUP(A204,fund_value_simple[],8,FALSE)</f>
        <v>1.0623920249973835</v>
      </c>
      <c r="D204" s="5">
        <f t="shared" si="12"/>
        <v>124870.76815637993</v>
      </c>
      <c r="E204">
        <v>90000</v>
      </c>
      <c r="F204" s="4">
        <f t="shared" si="11"/>
        <v>0.38745297951533253</v>
      </c>
    </row>
    <row r="205" spans="1:6" x14ac:dyDescent="0.5">
      <c r="A205" s="3">
        <v>43733</v>
      </c>
      <c r="B205">
        <v>117537.37341607724</v>
      </c>
      <c r="C205" s="6">
        <f>VLOOKUP(A205,fund_value_simple[],8,FALSE)</f>
        <v>1.0536993559347414</v>
      </c>
      <c r="D205" s="5">
        <f t="shared" si="12"/>
        <v>123849.05466678178</v>
      </c>
      <c r="E205">
        <v>90000</v>
      </c>
      <c r="F205" s="4">
        <f t="shared" si="11"/>
        <v>0.3761006074086865</v>
      </c>
    </row>
    <row r="206" spans="1:6" x14ac:dyDescent="0.5">
      <c r="A206" s="3">
        <v>43734</v>
      </c>
      <c r="B206">
        <v>117537.37341607724</v>
      </c>
      <c r="C206" s="6">
        <f>VLOOKUP(A206,fund_value_simple[],8,FALSE)</f>
        <v>1.0456859693666909</v>
      </c>
      <c r="D206" s="5">
        <f t="shared" si="12"/>
        <v>122907.18225740545</v>
      </c>
      <c r="E206">
        <v>90000</v>
      </c>
      <c r="F206" s="4">
        <f t="shared" si="11"/>
        <v>0.36563535841561612</v>
      </c>
    </row>
    <row r="207" spans="1:6" x14ac:dyDescent="0.5">
      <c r="A207" s="3">
        <v>43735</v>
      </c>
      <c r="B207">
        <v>117537.37341607724</v>
      </c>
      <c r="C207" s="6">
        <f>VLOOKUP(A207,fund_value_simple[],8,FALSE)</f>
        <v>1.0457765403659698</v>
      </c>
      <c r="D207" s="5">
        <f t="shared" si="12"/>
        <v>122917.82773476836</v>
      </c>
      <c r="E207">
        <v>90000</v>
      </c>
      <c r="F207" s="4">
        <f t="shared" si="11"/>
        <v>0.36575364149742623</v>
      </c>
    </row>
    <row r="208" spans="1:6" x14ac:dyDescent="0.5">
      <c r="A208" s="3">
        <v>43738</v>
      </c>
      <c r="B208">
        <v>117537.37341607724</v>
      </c>
      <c r="C208" s="6">
        <f>VLOOKUP(A208,fund_value_simple[],8,FALSE)</f>
        <v>1.0453035584808468</v>
      </c>
      <c r="D208" s="5">
        <f t="shared" si="12"/>
        <v>122862.23468631762</v>
      </c>
      <c r="E208">
        <v>90000</v>
      </c>
      <c r="F208" s="4">
        <f t="shared" si="11"/>
        <v>0.36513594095908469</v>
      </c>
    </row>
    <row r="209" spans="1:6" x14ac:dyDescent="0.5">
      <c r="A209" s="3">
        <v>43746</v>
      </c>
      <c r="B209">
        <v>117537.37341607724</v>
      </c>
      <c r="C209" s="6">
        <f>VLOOKUP(A209,fund_value_simple[],8,FALSE)</f>
        <v>1.0455551445899547</v>
      </c>
      <c r="D209" s="5">
        <f t="shared" si="12"/>
        <v>122891.80545677013</v>
      </c>
      <c r="E209">
        <v>90000</v>
      </c>
      <c r="F209" s="4">
        <f t="shared" si="11"/>
        <v>0.36546450507522371</v>
      </c>
    </row>
    <row r="210" spans="1:6" x14ac:dyDescent="0.5">
      <c r="A210" s="3">
        <v>43747</v>
      </c>
      <c r="B210">
        <v>117537.37341607724</v>
      </c>
      <c r="C210" s="6">
        <f>VLOOKUP(A210,fund_value_simple[],8,FALSE)</f>
        <v>1.0456658424779623</v>
      </c>
      <c r="D210" s="5">
        <f t="shared" si="12"/>
        <v>122904.81659576927</v>
      </c>
      <c r="E210">
        <v>90000</v>
      </c>
      <c r="F210" s="4">
        <f t="shared" si="11"/>
        <v>0.36560907328632519</v>
      </c>
    </row>
    <row r="211" spans="1:6" x14ac:dyDescent="0.5">
      <c r="A211" s="3">
        <v>43748</v>
      </c>
      <c r="B211">
        <v>117537.37341607724</v>
      </c>
      <c r="C211" s="6">
        <f>VLOOKUP(A211,fund_value_simple[],8,FALSE)</f>
        <v>1.0459476189201633</v>
      </c>
      <c r="D211" s="5">
        <f t="shared" si="12"/>
        <v>122937.93585867609</v>
      </c>
      <c r="E211">
        <v>90000</v>
      </c>
      <c r="F211" s="4">
        <f t="shared" si="11"/>
        <v>0.36597706509640104</v>
      </c>
    </row>
    <row r="212" spans="1:6" x14ac:dyDescent="0.5">
      <c r="A212" s="3">
        <v>43749</v>
      </c>
      <c r="B212">
        <v>117537.37341607724</v>
      </c>
      <c r="C212" s="6">
        <f>VLOOKUP(A212,fund_value_simple[],8,FALSE)</f>
        <v>1.0464306642496506</v>
      </c>
      <c r="D212" s="5">
        <f t="shared" si="12"/>
        <v>122994.71173794493</v>
      </c>
      <c r="E212">
        <v>90000</v>
      </c>
      <c r="F212" s="4">
        <f t="shared" si="11"/>
        <v>0.36660790819938815</v>
      </c>
    </row>
    <row r="213" spans="1:6" x14ac:dyDescent="0.5">
      <c r="A213" s="3">
        <v>43752</v>
      </c>
      <c r="B213">
        <v>117537.37341607724</v>
      </c>
      <c r="C213" s="6">
        <f>VLOOKUP(A213,fund_value_simple[],8,FALSE)</f>
        <v>1.0453327424695034</v>
      </c>
      <c r="D213" s="5">
        <f t="shared" si="12"/>
        <v>122865.66489569012</v>
      </c>
      <c r="E213">
        <v>90000</v>
      </c>
      <c r="F213" s="4">
        <f t="shared" si="11"/>
        <v>0.36517405439655687</v>
      </c>
    </row>
    <row r="214" spans="1:6" x14ac:dyDescent="0.5">
      <c r="A214" s="3">
        <v>43753</v>
      </c>
      <c r="B214">
        <v>117537.37341607724</v>
      </c>
      <c r="C214" s="6">
        <f>VLOOKUP(A214,fund_value_simple[],8,FALSE)</f>
        <v>1.0439357468838153</v>
      </c>
      <c r="D214" s="5">
        <f t="shared" si="12"/>
        <v>122701.46570387449</v>
      </c>
      <c r="E214">
        <v>90000</v>
      </c>
      <c r="F214" s="4">
        <f t="shared" si="11"/>
        <v>0.36334961893193879</v>
      </c>
    </row>
    <row r="215" spans="1:6" x14ac:dyDescent="0.5">
      <c r="A215" s="3">
        <v>43754</v>
      </c>
      <c r="B215">
        <v>117537.37341607724</v>
      </c>
      <c r="C215" s="6">
        <f>VLOOKUP(A215,fund_value_simple[],8,FALSE)</f>
        <v>1.0438694607902399</v>
      </c>
      <c r="D215" s="5">
        <f t="shared" si="12"/>
        <v>122693.67461054162</v>
      </c>
      <c r="E215">
        <v>90000</v>
      </c>
      <c r="F215" s="4">
        <f t="shared" si="11"/>
        <v>0.36326305122824026</v>
      </c>
    </row>
    <row r="216" spans="1:6" x14ac:dyDescent="0.5">
      <c r="A216" s="3">
        <v>43755</v>
      </c>
      <c r="B216">
        <v>117537.37341607724</v>
      </c>
      <c r="C216" s="6">
        <f>VLOOKUP(A216,fund_value_simple[],8,FALSE)</f>
        <v>1.0435575343819443</v>
      </c>
      <c r="D216" s="5">
        <f t="shared" si="12"/>
        <v>122657.01159981146</v>
      </c>
      <c r="E216">
        <v>90000</v>
      </c>
      <c r="F216" s="4">
        <f t="shared" si="11"/>
        <v>0.36285568444234961</v>
      </c>
    </row>
    <row r="217" spans="1:6" x14ac:dyDescent="0.5">
      <c r="A217" s="3">
        <v>43756</v>
      </c>
      <c r="B217">
        <v>117537.37341607724</v>
      </c>
      <c r="C217" s="6">
        <f>VLOOKUP(A217,fund_value_simple[],8,FALSE)</f>
        <v>1.040147787580513</v>
      </c>
      <c r="D217" s="5">
        <f t="shared" si="12"/>
        <v>122256.23891675734</v>
      </c>
      <c r="E217">
        <v>90000</v>
      </c>
      <c r="F217" s="4">
        <f t="shared" si="11"/>
        <v>0.35840265463063714</v>
      </c>
    </row>
    <row r="218" spans="1:6" x14ac:dyDescent="0.5">
      <c r="A218" s="3">
        <v>43759</v>
      </c>
      <c r="B218">
        <v>117537.37341607724</v>
      </c>
      <c r="C218" s="6">
        <f>VLOOKUP(A218,fund_value_simple[],8,FALSE)</f>
        <v>1.0360953458402113</v>
      </c>
      <c r="D218" s="5">
        <f t="shared" si="12"/>
        <v>121779.92555868061</v>
      </c>
      <c r="E218">
        <v>90000</v>
      </c>
      <c r="F218" s="4">
        <f t="shared" si="11"/>
        <v>0.35311028398534011</v>
      </c>
    </row>
    <row r="219" spans="1:6" x14ac:dyDescent="0.5">
      <c r="A219" s="3">
        <v>43760</v>
      </c>
      <c r="B219">
        <v>117537.37341607724</v>
      </c>
      <c r="C219" s="6">
        <f>VLOOKUP(A219,fund_value_simple[],8,FALSE)</f>
        <v>1.0413177232776181</v>
      </c>
      <c r="D219" s="5">
        <f t="shared" si="12"/>
        <v>122393.75008566078</v>
      </c>
      <c r="E219">
        <v>90000</v>
      </c>
      <c r="F219" s="4">
        <f t="shared" si="11"/>
        <v>0.35993055650734201</v>
      </c>
    </row>
    <row r="220" spans="1:6" x14ac:dyDescent="0.5">
      <c r="A220" s="3">
        <v>43761</v>
      </c>
      <c r="B220">
        <v>117537.37341607724</v>
      </c>
      <c r="C220" s="6">
        <f>VLOOKUP(A220,fund_value_simple[],8,FALSE)</f>
        <v>1.0352871665757639</v>
      </c>
      <c r="D220" s="5">
        <f t="shared" si="12"/>
        <v>121684.93429068812</v>
      </c>
      <c r="E220">
        <v>90000</v>
      </c>
      <c r="F220" s="4">
        <f t="shared" si="11"/>
        <v>0.35205482545209021</v>
      </c>
    </row>
    <row r="221" spans="1:6" x14ac:dyDescent="0.5">
      <c r="A221" s="3">
        <v>43762</v>
      </c>
      <c r="B221">
        <v>117537.37341607724</v>
      </c>
      <c r="C221" s="6">
        <f>VLOOKUP(A221,fund_value_simple[],8,FALSE)</f>
        <v>1.0346584954713682</v>
      </c>
      <c r="D221" s="5">
        <f t="shared" si="12"/>
        <v>121611.04194033488</v>
      </c>
      <c r="E221">
        <v>90000</v>
      </c>
      <c r="F221" s="4">
        <f t="shared" si="11"/>
        <v>0.35123379933705423</v>
      </c>
    </row>
    <row r="222" spans="1:6" x14ac:dyDescent="0.5">
      <c r="A222" s="3">
        <v>43763</v>
      </c>
      <c r="B222">
        <v>117537.37341607724</v>
      </c>
      <c r="C222" s="6">
        <f>VLOOKUP(A222,fund_value_simple[],8,FALSE)</f>
        <v>1.0387686643019876</v>
      </c>
      <c r="D222" s="5">
        <f t="shared" si="12"/>
        <v>122094.1403889825</v>
      </c>
      <c r="E222">
        <v>90000</v>
      </c>
      <c r="F222" s="4">
        <f t="shared" si="11"/>
        <v>0.35660155987758335</v>
      </c>
    </row>
    <row r="223" spans="1:6" x14ac:dyDescent="0.5">
      <c r="A223" s="3">
        <v>43766</v>
      </c>
      <c r="B223">
        <v>117537.37341607724</v>
      </c>
      <c r="C223" s="6">
        <f>VLOOKUP(A223,fund_value_simple[],8,FALSE)</f>
        <v>1.0471814409915092</v>
      </c>
      <c r="D223" s="5">
        <f t="shared" si="12"/>
        <v>123082.95606420487</v>
      </c>
      <c r="E223">
        <v>90000</v>
      </c>
      <c r="F223" s="4">
        <f t="shared" si="11"/>
        <v>0.3675884007133875</v>
      </c>
    </row>
    <row r="224" spans="1:6" x14ac:dyDescent="0.5">
      <c r="A224" s="3">
        <v>43767</v>
      </c>
      <c r="B224">
        <v>117537.37341607724</v>
      </c>
      <c r="C224" s="6">
        <f>VLOOKUP(A224,fund_value_simple[],8,FALSE)</f>
        <v>1.0389957395844611</v>
      </c>
      <c r="D224" s="5">
        <f t="shared" si="12"/>
        <v>122120.83022125215</v>
      </c>
      <c r="E224">
        <v>90000</v>
      </c>
      <c r="F224" s="4">
        <f t="shared" si="11"/>
        <v>0.35689811356946838</v>
      </c>
    </row>
    <row r="225" spans="1:6" x14ac:dyDescent="0.5">
      <c r="A225" s="3">
        <v>43768</v>
      </c>
      <c r="B225">
        <v>117537.37341607724</v>
      </c>
      <c r="C225" s="6">
        <f>VLOOKUP(A225,fund_value_simple[],8,FALSE)</f>
        <v>1.0362132394664705</v>
      </c>
      <c r="D225" s="5">
        <f t="shared" si="12"/>
        <v>121793.78246585361</v>
      </c>
      <c r="E225">
        <v>90000</v>
      </c>
      <c r="F225" s="4">
        <f t="shared" si="11"/>
        <v>0.35326424962059566</v>
      </c>
    </row>
    <row r="226" spans="1:6" x14ac:dyDescent="0.5">
      <c r="A226" s="3">
        <v>43769</v>
      </c>
      <c r="B226">
        <v>117537.37341607724</v>
      </c>
      <c r="C226" s="6">
        <f>VLOOKUP(A226,fund_value_simple[],8,FALSE)</f>
        <v>1.0398744238322477</v>
      </c>
      <c r="D226" s="5">
        <f t="shared" si="12"/>
        <v>122224.10845979907</v>
      </c>
      <c r="E226">
        <v>90000</v>
      </c>
      <c r="F226" s="4">
        <f t="shared" si="11"/>
        <v>0.35804564955332302</v>
      </c>
    </row>
    <row r="227" spans="1:6" x14ac:dyDescent="0.5">
      <c r="A227" s="3">
        <v>43770</v>
      </c>
      <c r="B227">
        <v>117537.37341607724</v>
      </c>
      <c r="C227" s="6">
        <f>VLOOKUP(A227,fund_value_simple[],8,FALSE)</f>
        <v>1.0472212004595738</v>
      </c>
      <c r="D227" s="5">
        <f t="shared" si="12"/>
        <v>123087.6292876496</v>
      </c>
      <c r="E227">
        <v>90000</v>
      </c>
      <c r="F227" s="4">
        <f t="shared" si="11"/>
        <v>0.36764032541832892</v>
      </c>
    </row>
    <row r="228" spans="1:6" x14ac:dyDescent="0.5">
      <c r="A228" s="3">
        <v>43773</v>
      </c>
      <c r="B228">
        <v>117537.37341607724</v>
      </c>
      <c r="C228" s="6">
        <f>VLOOKUP(A228,fund_value_simple[],8,FALSE)</f>
        <v>1.0536800200451004</v>
      </c>
      <c r="D228" s="5">
        <f t="shared" si="12"/>
        <v>123846.78197710072</v>
      </c>
      <c r="E228">
        <v>90000</v>
      </c>
      <c r="F228" s="4">
        <f t="shared" si="11"/>
        <v>0.37607535530111913</v>
      </c>
    </row>
    <row r="229" spans="1:6" x14ac:dyDescent="0.5">
      <c r="A229" s="3">
        <v>43774</v>
      </c>
      <c r="B229">
        <v>117537.37341607724</v>
      </c>
      <c r="C229" s="6">
        <f>VLOOKUP(A229,fund_value_simple[],8,FALSE)</f>
        <v>1.0576957364928963</v>
      </c>
      <c r="D229" s="5">
        <f t="shared" si="12"/>
        <v>124318.77874075838</v>
      </c>
      <c r="E229">
        <v>90000</v>
      </c>
      <c r="F229" s="4">
        <f t="shared" si="11"/>
        <v>0.38131976378620425</v>
      </c>
    </row>
    <row r="230" spans="1:6" x14ac:dyDescent="0.5">
      <c r="A230" s="3">
        <v>43775</v>
      </c>
      <c r="B230">
        <v>117537.37341607724</v>
      </c>
      <c r="C230" s="6">
        <f>VLOOKUP(A230,fund_value_simple[],8,FALSE)</f>
        <v>1.0499616313985245</v>
      </c>
      <c r="D230" s="5">
        <f t="shared" si="12"/>
        <v>123409.73234224203</v>
      </c>
      <c r="E230">
        <v>90000</v>
      </c>
      <c r="F230" s="4">
        <f t="shared" si="11"/>
        <v>0.37121924824713365</v>
      </c>
    </row>
    <row r="231" spans="1:6" x14ac:dyDescent="0.5">
      <c r="A231" s="3">
        <v>43776</v>
      </c>
      <c r="B231">
        <v>117537.37341607724</v>
      </c>
      <c r="C231" s="6">
        <f>VLOOKUP(A231,fund_value_simple[],8,FALSE)</f>
        <v>1.0542854224355354</v>
      </c>
      <c r="D231" s="5">
        <f t="shared" si="12"/>
        <v>123917.93938393226</v>
      </c>
      <c r="E231">
        <v>90000</v>
      </c>
      <c r="F231" s="4">
        <f t="shared" si="11"/>
        <v>0.37686599315480285</v>
      </c>
    </row>
    <row r="232" spans="1:6" x14ac:dyDescent="0.5">
      <c r="A232" s="3">
        <v>43777</v>
      </c>
      <c r="B232">
        <v>117537.37341607724</v>
      </c>
      <c r="C232" s="6">
        <f>VLOOKUP(A232,fund_value_simple[],8,FALSE)</f>
        <v>1.0508321212261911</v>
      </c>
      <c r="D232" s="5">
        <f t="shared" si="12"/>
        <v>123512.04743017137</v>
      </c>
      <c r="E232">
        <v>90000</v>
      </c>
      <c r="F232" s="4">
        <f t="shared" si="11"/>
        <v>0.37235608255745967</v>
      </c>
    </row>
    <row r="233" spans="1:6" x14ac:dyDescent="0.5">
      <c r="A233" s="3">
        <v>43780</v>
      </c>
      <c r="B233">
        <v>117537.37341607724</v>
      </c>
      <c r="C233" s="6">
        <f>VLOOKUP(A233,fund_value_simple[],8,FALSE)</f>
        <v>1.0370583212781319</v>
      </c>
      <c r="D233" s="5">
        <f t="shared" si="12"/>
        <v>121893.11116231799</v>
      </c>
      <c r="E233">
        <v>90000</v>
      </c>
      <c r="F233" s="4">
        <f t="shared" si="11"/>
        <v>0.35436790180353323</v>
      </c>
    </row>
    <row r="234" spans="1:6" x14ac:dyDescent="0.5">
      <c r="A234" s="3">
        <v>43781</v>
      </c>
      <c r="B234">
        <v>117537.37341607724</v>
      </c>
      <c r="C234" s="6">
        <f>VLOOKUP(A234,fund_value_simple[],8,FALSE)</f>
        <v>1.0376064074659221</v>
      </c>
      <c r="D234" s="5">
        <f t="shared" si="12"/>
        <v>121957.53177323649</v>
      </c>
      <c r="E234">
        <v>90000</v>
      </c>
      <c r="F234" s="4">
        <f t="shared" si="11"/>
        <v>0.35508368636929438</v>
      </c>
    </row>
    <row r="235" spans="1:6" x14ac:dyDescent="0.5">
      <c r="A235" s="3">
        <v>43782</v>
      </c>
      <c r="B235">
        <v>117537.37341607724</v>
      </c>
      <c r="C235" s="6">
        <f>VLOOKUP(A235,fund_value_simple[],8,FALSE)</f>
        <v>1.0450109443950868</v>
      </c>
      <c r="D235" s="5">
        <f t="shared" si="12"/>
        <v>122827.84159525284</v>
      </c>
      <c r="E235">
        <v>90000</v>
      </c>
      <c r="F235" s="4">
        <f t="shared" si="11"/>
        <v>0.3647537955028094</v>
      </c>
    </row>
    <row r="236" spans="1:6" x14ac:dyDescent="0.5">
      <c r="A236" s="3">
        <v>43783</v>
      </c>
      <c r="B236">
        <v>117537.37341607724</v>
      </c>
      <c r="C236" s="6">
        <f>VLOOKUP(A236,fund_value_simple[],8,FALSE)</f>
        <v>1.0526272646930237</v>
      </c>
      <c r="D236" s="5">
        <f t="shared" si="12"/>
        <v>123723.04387816791</v>
      </c>
      <c r="E236">
        <v>90000</v>
      </c>
      <c r="F236" s="4">
        <f t="shared" si="11"/>
        <v>0.37470048753519902</v>
      </c>
    </row>
    <row r="237" spans="1:6" x14ac:dyDescent="0.5">
      <c r="A237" s="3">
        <v>43784</v>
      </c>
      <c r="B237">
        <v>117537.37341607724</v>
      </c>
      <c r="C237" s="6">
        <f>VLOOKUP(A237,fund_value_simple[],8,FALSE)</f>
        <v>1.0496647334688247</v>
      </c>
      <c r="D237" s="5">
        <f t="shared" si="12"/>
        <v>123374.83573941245</v>
      </c>
      <c r="E237">
        <v>90000</v>
      </c>
      <c r="F237" s="4">
        <f t="shared" si="11"/>
        <v>0.37083150821569383</v>
      </c>
    </row>
    <row r="238" spans="1:6" x14ac:dyDescent="0.5">
      <c r="A238" s="3">
        <v>43787</v>
      </c>
      <c r="B238">
        <v>117537.37341607724</v>
      </c>
      <c r="C238" s="6">
        <f>VLOOKUP(A238,fund_value_simple[],8,FALSE)</f>
        <v>1.0503946154493757</v>
      </c>
      <c r="D238" s="5">
        <f t="shared" si="12"/>
        <v>123460.62415031013</v>
      </c>
      <c r="E238">
        <v>90000</v>
      </c>
      <c r="F238" s="4">
        <f t="shared" si="11"/>
        <v>0.37178471278122371</v>
      </c>
    </row>
    <row r="239" spans="1:6" x14ac:dyDescent="0.5">
      <c r="A239" s="3">
        <v>43788</v>
      </c>
      <c r="B239">
        <v>117537.37341607724</v>
      </c>
      <c r="C239" s="6">
        <f>VLOOKUP(A239,fund_value_simple[],8,FALSE)</f>
        <v>1.0597151437496866</v>
      </c>
      <c r="D239" s="5">
        <f t="shared" si="12"/>
        <v>124556.13456557889</v>
      </c>
      <c r="E239">
        <v>90000</v>
      </c>
      <c r="F239" s="4">
        <f t="shared" si="11"/>
        <v>0.38395705072865433</v>
      </c>
    </row>
    <row r="240" spans="1:6" x14ac:dyDescent="0.5">
      <c r="A240" s="3">
        <v>43789</v>
      </c>
      <c r="B240">
        <v>117537.37341607724</v>
      </c>
      <c r="C240" s="6">
        <f>VLOOKUP(A240,fund_value_simple[],8,FALSE)</f>
        <v>1.0561012590760732</v>
      </c>
      <c r="D240" s="5">
        <f t="shared" si="12"/>
        <v>124131.36805321375</v>
      </c>
      <c r="E240">
        <v>90000</v>
      </c>
      <c r="F240" s="4">
        <f t="shared" si="11"/>
        <v>0.3792374228134861</v>
      </c>
    </row>
    <row r="241" spans="1:6" x14ac:dyDescent="0.5">
      <c r="A241" s="3">
        <v>43790</v>
      </c>
      <c r="B241">
        <v>117537.37341607724</v>
      </c>
      <c r="C241" s="6">
        <f>VLOOKUP(A241,fund_value_simple[],8,FALSE)</f>
        <v>1.0541764375698413</v>
      </c>
      <c r="D241" s="5">
        <f t="shared" si="12"/>
        <v>123905.12958907647</v>
      </c>
      <c r="E241">
        <v>90000</v>
      </c>
      <c r="F241" s="4">
        <f t="shared" si="11"/>
        <v>0.37672366210084973</v>
      </c>
    </row>
    <row r="242" spans="1:6" x14ac:dyDescent="0.5">
      <c r="A242" s="3">
        <v>43791</v>
      </c>
      <c r="B242">
        <v>117537.37341607724</v>
      </c>
      <c r="C242" s="6">
        <f>VLOOKUP(A242,fund_value_simple[],8,FALSE)</f>
        <v>1.0370338997257493</v>
      </c>
      <c r="D242" s="5">
        <f t="shared" si="12"/>
        <v>121890.2407171962</v>
      </c>
      <c r="E242">
        <v>90000</v>
      </c>
      <c r="F242" s="4">
        <f t="shared" si="11"/>
        <v>0.35433600796884662</v>
      </c>
    </row>
    <row r="243" spans="1:6" x14ac:dyDescent="0.5">
      <c r="A243" s="3">
        <v>43794</v>
      </c>
      <c r="B243">
        <v>117537.37341607724</v>
      </c>
      <c r="C243" s="6">
        <f>VLOOKUP(A243,fund_value_simple[],8,FALSE)</f>
        <v>1.0282494794288519</v>
      </c>
      <c r="D243" s="5">
        <f t="shared" si="12"/>
        <v>120857.74302851601</v>
      </c>
      <c r="E243">
        <v>90000</v>
      </c>
      <c r="F243" s="4">
        <f t="shared" ref="F243:F306" si="13">(D243-E243)/E243</f>
        <v>0.34286381142795563</v>
      </c>
    </row>
    <row r="244" spans="1:6" x14ac:dyDescent="0.5">
      <c r="A244" s="3">
        <v>43795</v>
      </c>
      <c r="B244">
        <v>117537.37341607724</v>
      </c>
      <c r="C244" s="6">
        <f>VLOOKUP(A244,fund_value_simple[],8,FALSE)</f>
        <v>1.0274291695923035</v>
      </c>
      <c r="D244" s="5">
        <f t="shared" si="12"/>
        <v>120761.32596494073</v>
      </c>
      <c r="E244">
        <v>90000</v>
      </c>
      <c r="F244" s="4">
        <f t="shared" si="13"/>
        <v>0.34179251072156364</v>
      </c>
    </row>
    <row r="245" spans="1:6" x14ac:dyDescent="0.5">
      <c r="A245" s="3">
        <v>43796</v>
      </c>
      <c r="B245">
        <v>117537.37341607724</v>
      </c>
      <c r="C245" s="6">
        <f>VLOOKUP(A245,fund_value_simple[],8,FALSE)</f>
        <v>1.0328871366150081</v>
      </c>
      <c r="D245" s="5">
        <f t="shared" si="12"/>
        <v>121402.841072981</v>
      </c>
      <c r="E245">
        <v>90000</v>
      </c>
      <c r="F245" s="4">
        <f t="shared" si="13"/>
        <v>0.34892045636645552</v>
      </c>
    </row>
    <row r="246" spans="1:6" x14ac:dyDescent="0.5">
      <c r="A246" s="3">
        <v>43797</v>
      </c>
      <c r="B246">
        <v>117537.37341607724</v>
      </c>
      <c r="C246" s="6">
        <f>VLOOKUP(A246,fund_value_simple[],8,FALSE)</f>
        <v>1.0334878359441342</v>
      </c>
      <c r="D246" s="5">
        <f t="shared" si="12"/>
        <v>121473.44569433927</v>
      </c>
      <c r="E246">
        <v>90000</v>
      </c>
      <c r="F246" s="4">
        <f t="shared" si="13"/>
        <v>0.34970495215932523</v>
      </c>
    </row>
    <row r="247" spans="1:6" x14ac:dyDescent="0.5">
      <c r="A247" s="3">
        <v>43798</v>
      </c>
      <c r="B247">
        <v>117537.37341607724</v>
      </c>
      <c r="C247" s="6">
        <f>VLOOKUP(A247,fund_value_simple[],8,FALSE)</f>
        <v>1.0274065626283042</v>
      </c>
      <c r="D247" s="5">
        <f t="shared" si="12"/>
        <v>120758.66880177135</v>
      </c>
      <c r="E247">
        <v>90000</v>
      </c>
      <c r="F247" s="4">
        <f t="shared" si="13"/>
        <v>0.3417629866863483</v>
      </c>
    </row>
    <row r="248" spans="1:6" x14ac:dyDescent="0.5">
      <c r="A248" s="3">
        <v>43801</v>
      </c>
      <c r="B248">
        <v>117537.37341607724</v>
      </c>
      <c r="C248" s="6">
        <f>VLOOKUP(A248,fund_value_simple[],8,FALSE)</f>
        <v>1.0262697552957645</v>
      </c>
      <c r="D248" s="5">
        <f t="shared" si="12"/>
        <v>120625.05145382449</v>
      </c>
      <c r="E248">
        <v>90000</v>
      </c>
      <c r="F248" s="4">
        <f t="shared" si="13"/>
        <v>0.34027834948693875</v>
      </c>
    </row>
    <row r="249" spans="1:6" x14ac:dyDescent="0.5">
      <c r="A249" s="3">
        <v>43802</v>
      </c>
      <c r="B249">
        <v>117537.37341607724</v>
      </c>
      <c r="C249" s="6">
        <f>VLOOKUP(A249,fund_value_simple[],8,FALSE)</f>
        <v>1.0340279873645373</v>
      </c>
      <c r="D249" s="5">
        <f t="shared" si="12"/>
        <v>121536.93367354042</v>
      </c>
      <c r="E249">
        <v>90000</v>
      </c>
      <c r="F249" s="4">
        <f t="shared" si="13"/>
        <v>0.35041037415044912</v>
      </c>
    </row>
    <row r="250" spans="1:6" x14ac:dyDescent="0.5">
      <c r="A250" s="3">
        <v>43803</v>
      </c>
      <c r="B250">
        <v>117537.37341607724</v>
      </c>
      <c r="C250" s="6">
        <f>VLOOKUP(A250,fund_value_simple[],8,FALSE)</f>
        <v>1.0365807786576111</v>
      </c>
      <c r="D250" s="5">
        <f t="shared" ref="D250:D276" si="14">B250*C250</f>
        <v>121836.98205700774</v>
      </c>
      <c r="E250">
        <v>90000</v>
      </c>
      <c r="F250" s="4">
        <f t="shared" si="13"/>
        <v>0.35374424507786378</v>
      </c>
    </row>
    <row r="251" spans="1:6" x14ac:dyDescent="0.5">
      <c r="A251" s="3">
        <v>43804</v>
      </c>
      <c r="B251">
        <v>117537.37341607724</v>
      </c>
      <c r="C251" s="6">
        <f>VLOOKUP(A251,fund_value_simple[],8,FALSE)</f>
        <v>1.047687257113872</v>
      </c>
      <c r="D251" s="5">
        <f t="shared" si="14"/>
        <v>123142.4083626589</v>
      </c>
      <c r="E251">
        <v>90000</v>
      </c>
      <c r="F251" s="4">
        <f t="shared" si="13"/>
        <v>0.36824898180732107</v>
      </c>
    </row>
    <row r="252" spans="1:6" x14ac:dyDescent="0.5">
      <c r="A252" s="3">
        <v>43805</v>
      </c>
      <c r="B252">
        <v>117537.37341607724</v>
      </c>
      <c r="C252" s="6">
        <f>VLOOKUP(A252,fund_value_simple[],8,FALSE)</f>
        <v>1.0600306594575268</v>
      </c>
      <c r="D252" s="5">
        <f t="shared" si="14"/>
        <v>124593.21945314994</v>
      </c>
      <c r="E252">
        <v>90000</v>
      </c>
      <c r="F252" s="4">
        <f t="shared" si="13"/>
        <v>0.38436910503499933</v>
      </c>
    </row>
    <row r="253" spans="1:6" x14ac:dyDescent="0.5">
      <c r="A253" s="3">
        <v>43808</v>
      </c>
      <c r="B253">
        <v>117537.37341607724</v>
      </c>
      <c r="C253" s="6">
        <f>VLOOKUP(A253,fund_value_simple[],8,FALSE)</f>
        <v>1.0634055562260039</v>
      </c>
      <c r="D253" s="5">
        <f t="shared" si="14"/>
        <v>124989.89595486714</v>
      </c>
      <c r="E253">
        <v>90000</v>
      </c>
      <c r="F253" s="4">
        <f t="shared" si="13"/>
        <v>0.38877662172074601</v>
      </c>
    </row>
    <row r="254" spans="1:6" x14ac:dyDescent="0.5">
      <c r="A254" s="3">
        <v>43809</v>
      </c>
      <c r="B254">
        <v>117537.37341607724</v>
      </c>
      <c r="C254" s="6">
        <f>VLOOKUP(A254,fund_value_simple[],8,FALSE)</f>
        <v>1.0797376408698511</v>
      </c>
      <c r="D254" s="5">
        <f t="shared" si="14"/>
        <v>126909.52628631399</v>
      </c>
      <c r="E254">
        <v>90000</v>
      </c>
      <c r="F254" s="4">
        <f t="shared" si="13"/>
        <v>0.41010584762571106</v>
      </c>
    </row>
    <row r="255" spans="1:6" x14ac:dyDescent="0.5">
      <c r="A255" s="3">
        <v>43810</v>
      </c>
      <c r="B255">
        <v>117537.37341607724</v>
      </c>
      <c r="C255" s="6">
        <f>VLOOKUP(A255,fund_value_simple[],8,FALSE)</f>
        <v>1.0746478444037078</v>
      </c>
      <c r="D255" s="5">
        <f t="shared" si="14"/>
        <v>126311.28497846107</v>
      </c>
      <c r="E255">
        <v>90000</v>
      </c>
      <c r="F255" s="4">
        <f t="shared" si="13"/>
        <v>0.40345872198290084</v>
      </c>
    </row>
    <row r="256" spans="1:6" x14ac:dyDescent="0.5">
      <c r="A256" s="3">
        <v>43811</v>
      </c>
      <c r="B256">
        <v>117537.37341607724</v>
      </c>
      <c r="C256" s="6">
        <f>VLOOKUP(A256,fund_value_simple[],8,FALSE)</f>
        <v>1.0940413899488799</v>
      </c>
      <c r="D256" s="5">
        <f t="shared" si="14"/>
        <v>128590.75138306567</v>
      </c>
      <c r="E256">
        <v>90000</v>
      </c>
      <c r="F256" s="4">
        <f t="shared" si="13"/>
        <v>0.42878612647850745</v>
      </c>
    </row>
    <row r="257" spans="1:6" x14ac:dyDescent="0.5">
      <c r="A257" s="3">
        <v>43812</v>
      </c>
      <c r="B257">
        <v>117537.37341607724</v>
      </c>
      <c r="C257" s="6">
        <f>VLOOKUP(A257,fund_value_simple[],8,FALSE)</f>
        <v>1.1031778329709101</v>
      </c>
      <c r="D257" s="5">
        <f t="shared" si="14"/>
        <v>129664.62489824076</v>
      </c>
      <c r="E257">
        <v>90000</v>
      </c>
      <c r="F257" s="4">
        <f t="shared" si="13"/>
        <v>0.44071805442489731</v>
      </c>
    </row>
    <row r="258" spans="1:6" x14ac:dyDescent="0.5">
      <c r="A258" s="3">
        <v>43815</v>
      </c>
      <c r="B258">
        <v>117537.37341607724</v>
      </c>
      <c r="C258" s="6">
        <f>VLOOKUP(A258,fund_value_simple[],8,FALSE)</f>
        <v>1.1156245814357049</v>
      </c>
      <c r="D258" s="5">
        <f t="shared" si="14"/>
        <v>131127.58302036332</v>
      </c>
      <c r="E258">
        <v>90000</v>
      </c>
      <c r="F258" s="4">
        <f t="shared" si="13"/>
        <v>0.4569731446707036</v>
      </c>
    </row>
    <row r="259" spans="1:6" x14ac:dyDescent="0.5">
      <c r="A259" s="3">
        <v>43816</v>
      </c>
      <c r="B259">
        <v>117537.37341607724</v>
      </c>
      <c r="C259" s="6">
        <f>VLOOKUP(A259,fund_value_simple[],8,FALSE)</f>
        <v>1.1187037920333356</v>
      </c>
      <c r="D259" s="5">
        <f t="shared" si="14"/>
        <v>131489.50534620378</v>
      </c>
      <c r="E259">
        <v>90000</v>
      </c>
      <c r="F259" s="4">
        <f t="shared" si="13"/>
        <v>0.46099450384670865</v>
      </c>
    </row>
    <row r="260" spans="1:6" x14ac:dyDescent="0.5">
      <c r="A260" s="3">
        <v>43817</v>
      </c>
      <c r="B260">
        <v>117537.37341607724</v>
      </c>
      <c r="C260" s="6">
        <f>VLOOKUP(A260,fund_value_simple[],8,FALSE)</f>
        <v>1.1116711334381471</v>
      </c>
      <c r="D260" s="5">
        <f t="shared" si="14"/>
        <v>130662.90512679332</v>
      </c>
      <c r="E260">
        <v>90000</v>
      </c>
      <c r="F260" s="4">
        <f t="shared" si="13"/>
        <v>0.45181005696437027</v>
      </c>
    </row>
    <row r="261" spans="1:6" x14ac:dyDescent="0.5">
      <c r="A261" s="3">
        <v>43818</v>
      </c>
      <c r="B261">
        <v>117537.37341607724</v>
      </c>
      <c r="C261" s="6">
        <f>VLOOKUP(A261,fund_value_simple[],8,FALSE)</f>
        <v>1.1046902481750751</v>
      </c>
      <c r="D261" s="5">
        <f t="shared" si="14"/>
        <v>129842.39020885284</v>
      </c>
      <c r="E261">
        <v>90000</v>
      </c>
      <c r="F261" s="4">
        <f t="shared" si="13"/>
        <v>0.44269322454280935</v>
      </c>
    </row>
    <row r="262" spans="1:6" x14ac:dyDescent="0.5">
      <c r="A262" s="3">
        <v>43819</v>
      </c>
      <c r="B262">
        <v>117537.37341607724</v>
      </c>
      <c r="C262" s="6">
        <f>VLOOKUP(A262,fund_value_simple[],8,FALSE)</f>
        <v>1.1013751160855088</v>
      </c>
      <c r="D262" s="5">
        <f t="shared" si="14"/>
        <v>129452.73829051787</v>
      </c>
      <c r="E262">
        <v>90000</v>
      </c>
      <c r="F262" s="4">
        <f t="shared" si="13"/>
        <v>0.43836375878353184</v>
      </c>
    </row>
    <row r="263" spans="1:6" x14ac:dyDescent="0.5">
      <c r="A263" s="3">
        <v>43822</v>
      </c>
      <c r="B263">
        <v>117537.37341607724</v>
      </c>
      <c r="C263" s="6">
        <f>VLOOKUP(A263,fund_value_simple[],8,FALSE)</f>
        <v>1.0885010589891002</v>
      </c>
      <c r="D263" s="5">
        <f t="shared" si="14"/>
        <v>127939.55543419739</v>
      </c>
      <c r="E263">
        <v>90000</v>
      </c>
      <c r="F263" s="4">
        <f t="shared" si="13"/>
        <v>0.42155061593552656</v>
      </c>
    </row>
    <row r="264" spans="1:6" x14ac:dyDescent="0.5">
      <c r="A264" s="3">
        <v>43823</v>
      </c>
      <c r="B264">
        <v>117537.37341607724</v>
      </c>
      <c r="C264" s="6">
        <f>VLOOKUP(A264,fund_value_simple[],8,FALSE)</f>
        <v>1.0918000984667673</v>
      </c>
      <c r="D264" s="5">
        <f t="shared" si="14"/>
        <v>128327.31586919833</v>
      </c>
      <c r="E264">
        <v>90000</v>
      </c>
      <c r="F264" s="4">
        <f t="shared" si="13"/>
        <v>0.42585906521331474</v>
      </c>
    </row>
    <row r="265" spans="1:6" x14ac:dyDescent="0.5">
      <c r="A265" s="3">
        <v>43824</v>
      </c>
      <c r="B265">
        <v>117537.37341607724</v>
      </c>
      <c r="C265" s="6">
        <f>VLOOKUP(A265,fund_value_simple[],8,FALSE)</f>
        <v>1.0931694511281904</v>
      </c>
      <c r="D265" s="5">
        <f t="shared" si="14"/>
        <v>128488.26598430231</v>
      </c>
      <c r="E265">
        <v>90000</v>
      </c>
      <c r="F265" s="4">
        <f t="shared" si="13"/>
        <v>0.42764739982558125</v>
      </c>
    </row>
    <row r="266" spans="1:6" x14ac:dyDescent="0.5">
      <c r="A266" s="3">
        <v>43825</v>
      </c>
      <c r="B266">
        <v>117537.37341607724</v>
      </c>
      <c r="C266" s="6">
        <f>VLOOKUP(A266,fund_value_simple[],8,FALSE)</f>
        <v>1.0958593706551243</v>
      </c>
      <c r="D266" s="5">
        <f t="shared" si="14"/>
        <v>128804.43206019874</v>
      </c>
      <c r="E266">
        <v>90000</v>
      </c>
      <c r="F266" s="4">
        <f t="shared" si="13"/>
        <v>0.43116035622443044</v>
      </c>
    </row>
    <row r="267" spans="1:6" x14ac:dyDescent="0.5">
      <c r="A267" s="3">
        <v>43826</v>
      </c>
      <c r="B267">
        <v>117537.37341607724</v>
      </c>
      <c r="C267" s="6">
        <f>VLOOKUP(A267,fund_value_simple[],8,FALSE)</f>
        <v>1.0869754491195915</v>
      </c>
      <c r="D267" s="5">
        <f t="shared" si="14"/>
        <v>127760.2392572777</v>
      </c>
      <c r="E267">
        <v>90000</v>
      </c>
      <c r="F267" s="4">
        <f t="shared" si="13"/>
        <v>0.41955821396975224</v>
      </c>
    </row>
    <row r="268" spans="1:6" x14ac:dyDescent="0.5">
      <c r="A268" s="3">
        <v>43829</v>
      </c>
      <c r="B268">
        <v>117537.37341607724</v>
      </c>
      <c r="C268" s="6">
        <f>VLOOKUP(A268,fund_value_simple[],8,FALSE)</f>
        <v>1.1016330517977904</v>
      </c>
      <c r="D268" s="5">
        <f t="shared" si="14"/>
        <v>129483.05537664965</v>
      </c>
      <c r="E268">
        <v>90000</v>
      </c>
      <c r="F268" s="4">
        <f t="shared" si="13"/>
        <v>0.43870061529610715</v>
      </c>
    </row>
    <row r="269" spans="1:6" x14ac:dyDescent="0.5">
      <c r="A269" s="3">
        <v>43830</v>
      </c>
      <c r="B269">
        <v>117537.37341607724</v>
      </c>
      <c r="C269" s="6">
        <f>VLOOKUP(A269,fund_value_simple[],8,FALSE)</f>
        <v>1.1017874933183012</v>
      </c>
      <c r="D269" s="5">
        <f t="shared" si="14"/>
        <v>129501.20802731687</v>
      </c>
      <c r="E269">
        <v>90000</v>
      </c>
      <c r="F269" s="4">
        <f t="shared" si="13"/>
        <v>0.43890231141463187</v>
      </c>
    </row>
    <row r="270" spans="1:6" x14ac:dyDescent="0.5">
      <c r="A270" s="3">
        <v>43832</v>
      </c>
      <c r="B270">
        <v>117537.37341607724</v>
      </c>
      <c r="C270" s="6">
        <f>VLOOKUP(A270,fund_value_simple[],8,FALSE)</f>
        <v>1.1160556202040131</v>
      </c>
      <c r="D270" s="5">
        <f t="shared" si="14"/>
        <v>131178.24618503076</v>
      </c>
      <c r="E270">
        <v>90000</v>
      </c>
      <c r="F270" s="4">
        <f t="shared" si="13"/>
        <v>0.45753606872256397</v>
      </c>
    </row>
    <row r="271" spans="1:6" x14ac:dyDescent="0.5">
      <c r="A271" s="3">
        <v>43833</v>
      </c>
      <c r="B271">
        <v>117537.37341607724</v>
      </c>
      <c r="C271" s="6">
        <f>VLOOKUP(A271,fund_value_simple[],8,FALSE)</f>
        <v>1.1144261486821523</v>
      </c>
      <c r="D271" s="5">
        <f t="shared" si="14"/>
        <v>130986.72238229495</v>
      </c>
      <c r="E271">
        <v>90000</v>
      </c>
      <c r="F271" s="4">
        <f t="shared" si="13"/>
        <v>0.45540802646994383</v>
      </c>
    </row>
    <row r="272" spans="1:6" x14ac:dyDescent="0.5">
      <c r="A272" s="3">
        <v>43836</v>
      </c>
      <c r="B272">
        <v>117537.37341607724</v>
      </c>
      <c r="C272" s="6">
        <f>VLOOKUP(A272,fund_value_simple[],8,FALSE)</f>
        <v>1.1211083220721327</v>
      </c>
      <c r="D272" s="5">
        <f t="shared" si="14"/>
        <v>131772.12749126405</v>
      </c>
      <c r="E272">
        <v>90000</v>
      </c>
      <c r="F272" s="4">
        <f t="shared" si="13"/>
        <v>0.46413474990293391</v>
      </c>
    </row>
    <row r="273" spans="1:6" x14ac:dyDescent="0.5">
      <c r="A273" s="3">
        <v>43837</v>
      </c>
      <c r="B273">
        <v>117537.37341607724</v>
      </c>
      <c r="C273" s="6">
        <f>VLOOKUP(A273,fund_value_simple[],8,FALSE)</f>
        <v>1.1302135629538528</v>
      </c>
      <c r="D273" s="5">
        <f t="shared" si="14"/>
        <v>132842.33358882213</v>
      </c>
      <c r="E273">
        <v>90000</v>
      </c>
      <c r="F273" s="4">
        <f t="shared" si="13"/>
        <v>0.47602592876469035</v>
      </c>
    </row>
    <row r="274" spans="1:6" x14ac:dyDescent="0.5">
      <c r="A274" s="3">
        <v>43838</v>
      </c>
      <c r="B274">
        <v>117537.37341607724</v>
      </c>
      <c r="C274" s="6">
        <f>VLOOKUP(A274,fund_value_simple[],8,FALSE)</f>
        <v>1.1106549331660254</v>
      </c>
      <c r="D274" s="5">
        <f t="shared" si="14"/>
        <v>130543.46361594344</v>
      </c>
      <c r="E274">
        <v>90000</v>
      </c>
      <c r="F274" s="4">
        <f t="shared" si="13"/>
        <v>0.45048292906603826</v>
      </c>
    </row>
    <row r="275" spans="1:6" x14ac:dyDescent="0.5">
      <c r="A275" s="3">
        <v>43839</v>
      </c>
      <c r="B275">
        <v>117537.37341607724</v>
      </c>
      <c r="C275" s="6">
        <f>VLOOKUP(A275,fund_value_simple[],8,FALSE)</f>
        <v>1.1313068662579016</v>
      </c>
      <c r="D275" s="5">
        <f t="shared" si="14"/>
        <v>132970.83758752714</v>
      </c>
      <c r="E275">
        <v>90000</v>
      </c>
      <c r="F275" s="4">
        <f t="shared" si="13"/>
        <v>0.47745375097252385</v>
      </c>
    </row>
    <row r="276" spans="1:6" x14ac:dyDescent="0.5">
      <c r="A276" s="3">
        <v>43840</v>
      </c>
      <c r="B276">
        <v>117537.37341607724</v>
      </c>
      <c r="C276" s="6">
        <f>VLOOKUP(A276,fund_value_simple[],8,FALSE)</f>
        <v>1.1346733455597804</v>
      </c>
      <c r="D276" s="5">
        <f t="shared" si="14"/>
        <v>133366.52472232957</v>
      </c>
      <c r="E276">
        <v>90000</v>
      </c>
      <c r="F276" s="4">
        <f t="shared" si="13"/>
        <v>0.48185027469255082</v>
      </c>
    </row>
    <row r="277" spans="1:6" x14ac:dyDescent="0.5">
      <c r="A277" s="3">
        <v>43843</v>
      </c>
      <c r="B277">
        <v>117537.37341607724</v>
      </c>
      <c r="C277" s="6">
        <f>VLOOKUP(A277,fund_value_simple[],8,FALSE)</f>
        <v>1.1516244005148013</v>
      </c>
      <c r="D277" s="5">
        <f t="shared" ref="D277:D340" si="15">B277*C277</f>
        <v>135358.90719837431</v>
      </c>
      <c r="E277">
        <v>90000</v>
      </c>
      <c r="F277" s="4">
        <f t="shared" si="13"/>
        <v>0.50398785775971455</v>
      </c>
    </row>
    <row r="278" spans="1:6" x14ac:dyDescent="0.5">
      <c r="A278" s="3">
        <v>43844</v>
      </c>
      <c r="B278">
        <v>117537.37341607724</v>
      </c>
      <c r="C278" s="6">
        <f>VLOOKUP(A278,fund_value_simple[],8,FALSE)</f>
        <v>1.1448915643801389</v>
      </c>
      <c r="D278" s="5">
        <f t="shared" si="15"/>
        <v>134567.54732346523</v>
      </c>
      <c r="E278">
        <v>90000</v>
      </c>
      <c r="F278" s="4">
        <f t="shared" si="13"/>
        <v>0.49519497026072479</v>
      </c>
    </row>
    <row r="279" spans="1:6" x14ac:dyDescent="0.5">
      <c r="A279" s="3">
        <v>43845</v>
      </c>
      <c r="B279">
        <v>117537.37341607724</v>
      </c>
      <c r="C279" s="6">
        <f>VLOOKUP(A279,fund_value_simple[],8,FALSE)</f>
        <v>1.1478037004641124</v>
      </c>
      <c r="D279" s="5">
        <f t="shared" si="15"/>
        <v>134909.83214980565</v>
      </c>
      <c r="E279">
        <v>90000</v>
      </c>
      <c r="F279" s="4">
        <f t="shared" si="13"/>
        <v>0.49899813499784051</v>
      </c>
    </row>
    <row r="280" spans="1:6" x14ac:dyDescent="0.5">
      <c r="A280" s="3">
        <v>43846</v>
      </c>
      <c r="B280">
        <v>117537.37341607724</v>
      </c>
      <c r="C280" s="6">
        <f>VLOOKUP(A280,fund_value_simple[],8,FALSE)</f>
        <v>1.1466194624601693</v>
      </c>
      <c r="D280" s="5">
        <f t="shared" si="15"/>
        <v>134770.6399253227</v>
      </c>
      <c r="E280">
        <v>90000</v>
      </c>
      <c r="F280" s="4">
        <f t="shared" si="13"/>
        <v>0.49745155472580777</v>
      </c>
    </row>
    <row r="281" spans="1:6" x14ac:dyDescent="0.5">
      <c r="A281" s="3">
        <v>43847</v>
      </c>
      <c r="B281">
        <v>117537.37341607724</v>
      </c>
      <c r="C281" s="6">
        <f>VLOOKUP(A281,fund_value_simple[],8,FALSE)</f>
        <v>1.1453251797561812</v>
      </c>
      <c r="D281" s="5">
        <f t="shared" si="15"/>
        <v>134618.51333583807</v>
      </c>
      <c r="E281">
        <v>90000</v>
      </c>
      <c r="F281" s="4">
        <f t="shared" si="13"/>
        <v>0.49576125928708964</v>
      </c>
    </row>
    <row r="282" spans="1:6" x14ac:dyDescent="0.5">
      <c r="A282" s="3">
        <v>43850</v>
      </c>
      <c r="B282">
        <v>117537.37341607724</v>
      </c>
      <c r="C282" s="6">
        <f>VLOOKUP(A282,fund_value_simple[],8,FALSE)</f>
        <v>1.1745293501528082</v>
      </c>
      <c r="D282" s="5">
        <f t="shared" si="15"/>
        <v>138051.09481705318</v>
      </c>
      <c r="E282">
        <v>90000</v>
      </c>
      <c r="F282" s="4">
        <f t="shared" si="13"/>
        <v>0.53390105352281303</v>
      </c>
    </row>
    <row r="283" spans="1:6" x14ac:dyDescent="0.5">
      <c r="A283" s="3">
        <v>43851</v>
      </c>
      <c r="B283">
        <v>117537.37341607724</v>
      </c>
      <c r="C283" s="6">
        <f>VLOOKUP(A283,fund_value_simple[],8,FALSE)</f>
        <v>1.1648075388440997</v>
      </c>
      <c r="D283" s="5">
        <f t="shared" si="15"/>
        <v>136908.41865098084</v>
      </c>
      <c r="E283">
        <v>90000</v>
      </c>
      <c r="F283" s="4">
        <f t="shared" si="13"/>
        <v>0.5212046516775648</v>
      </c>
    </row>
    <row r="284" spans="1:6" x14ac:dyDescent="0.5">
      <c r="A284" s="3">
        <v>43852</v>
      </c>
      <c r="B284">
        <v>117537.37341607724</v>
      </c>
      <c r="C284" s="6">
        <f>VLOOKUP(A284,fund_value_simple[],8,FALSE)</f>
        <v>1.1802066210734334</v>
      </c>
      <c r="D284" s="5">
        <f t="shared" si="15"/>
        <v>138718.38632923493</v>
      </c>
      <c r="E284">
        <v>90000</v>
      </c>
      <c r="F284" s="4">
        <f t="shared" si="13"/>
        <v>0.54131540365816588</v>
      </c>
    </row>
    <row r="285" spans="1:6" x14ac:dyDescent="0.5">
      <c r="A285" s="3">
        <v>43853</v>
      </c>
      <c r="B285">
        <v>117537.37341607724</v>
      </c>
      <c r="C285" s="6">
        <f>VLOOKUP(A285,fund_value_simple[],8,FALSE)</f>
        <v>1.1497616887780098</v>
      </c>
      <c r="D285" s="5">
        <f t="shared" si="15"/>
        <v>135139.96895340053</v>
      </c>
      <c r="E285">
        <v>90000</v>
      </c>
      <c r="F285" s="4">
        <f t="shared" si="13"/>
        <v>0.50155521059333918</v>
      </c>
    </row>
    <row r="286" spans="1:6" x14ac:dyDescent="0.5">
      <c r="A286" s="3">
        <v>43864</v>
      </c>
      <c r="B286">
        <v>117537.37341607724</v>
      </c>
      <c r="C286" s="6">
        <f>VLOOKUP(A286,fund_value_simple[],8,FALSE)</f>
        <v>1.0652384377200437</v>
      </c>
      <c r="D286" s="5">
        <f t="shared" si="15"/>
        <v>125205.32803145952</v>
      </c>
      <c r="E286">
        <v>90000</v>
      </c>
      <c r="F286" s="4">
        <f t="shared" si="13"/>
        <v>0.39117031146066128</v>
      </c>
    </row>
    <row r="287" spans="1:6" x14ac:dyDescent="0.5">
      <c r="A287" s="3">
        <v>43865</v>
      </c>
      <c r="B287">
        <v>117537.37341607724</v>
      </c>
      <c r="C287" s="6">
        <f>VLOOKUP(A287,fund_value_simple[],8,FALSE)</f>
        <v>1.1100692748059078</v>
      </c>
      <c r="D287" s="5">
        <f t="shared" si="15"/>
        <v>130474.62687057604</v>
      </c>
      <c r="E287">
        <v>90000</v>
      </c>
      <c r="F287" s="4">
        <f t="shared" si="13"/>
        <v>0.44971807633973382</v>
      </c>
    </row>
    <row r="288" spans="1:6" x14ac:dyDescent="0.5">
      <c r="A288" s="3">
        <v>43866</v>
      </c>
      <c r="B288">
        <v>117537.37341607724</v>
      </c>
      <c r="C288" s="6">
        <f>VLOOKUP(A288,fund_value_simple[],8,FALSE)</f>
        <v>1.124152729650097</v>
      </c>
      <c r="D288" s="5">
        <f t="shared" si="15"/>
        <v>132129.95916158598</v>
      </c>
      <c r="E288">
        <v>90000</v>
      </c>
      <c r="F288" s="4">
        <f t="shared" si="13"/>
        <v>0.46811065735095536</v>
      </c>
    </row>
    <row r="289" spans="1:6" x14ac:dyDescent="0.5">
      <c r="A289" s="3">
        <v>43867</v>
      </c>
      <c r="B289">
        <v>117537.37341607724</v>
      </c>
      <c r="C289" s="6">
        <f>VLOOKUP(A289,fund_value_simple[],8,FALSE)</f>
        <v>1.1386987943977349</v>
      </c>
      <c r="D289" s="5">
        <f t="shared" si="15"/>
        <v>133839.66540556354</v>
      </c>
      <c r="E289">
        <v>90000</v>
      </c>
      <c r="F289" s="4">
        <f t="shared" si="13"/>
        <v>0.48710739339515047</v>
      </c>
    </row>
    <row r="290" spans="1:6" x14ac:dyDescent="0.5">
      <c r="A290" s="3">
        <v>43868</v>
      </c>
      <c r="B290">
        <v>117537.37341607724</v>
      </c>
      <c r="C290" s="6">
        <f>VLOOKUP(A290,fund_value_simple[],8,FALSE)</f>
        <v>1.139120195454056</v>
      </c>
      <c r="D290" s="5">
        <f t="shared" si="15"/>
        <v>133889.19577887826</v>
      </c>
      <c r="E290">
        <v>90000</v>
      </c>
      <c r="F290" s="4">
        <f t="shared" si="13"/>
        <v>0.48765773087642511</v>
      </c>
    </row>
    <row r="291" spans="1:6" x14ac:dyDescent="0.5">
      <c r="A291" s="3">
        <v>43871</v>
      </c>
      <c r="B291">
        <v>117537.37341607724</v>
      </c>
      <c r="C291" s="6">
        <f>VLOOKUP(A291,fund_value_simple[],8,FALSE)</f>
        <v>1.1451657834771793</v>
      </c>
      <c r="D291" s="5">
        <f t="shared" si="15"/>
        <v>134599.7783158719</v>
      </c>
      <c r="E291">
        <v>90000</v>
      </c>
      <c r="F291" s="4">
        <f t="shared" si="13"/>
        <v>0.49555309239857664</v>
      </c>
    </row>
    <row r="292" spans="1:6" x14ac:dyDescent="0.5">
      <c r="A292" s="3">
        <v>43872</v>
      </c>
      <c r="B292">
        <v>117537.37341607724</v>
      </c>
      <c r="C292" s="6">
        <f>VLOOKUP(A292,fund_value_simple[],8,FALSE)</f>
        <v>1.1430285408199923</v>
      </c>
      <c r="D292" s="5">
        <f t="shared" si="15"/>
        <v>134348.57242759332</v>
      </c>
      <c r="E292">
        <v>90000</v>
      </c>
      <c r="F292" s="4">
        <f t="shared" si="13"/>
        <v>0.49276191586214796</v>
      </c>
    </row>
    <row r="293" spans="1:6" x14ac:dyDescent="0.5">
      <c r="A293" s="3">
        <v>43873</v>
      </c>
      <c r="B293">
        <v>117537.37341607724</v>
      </c>
      <c r="C293" s="6">
        <f>VLOOKUP(A293,fund_value_simple[],8,FALSE)</f>
        <v>1.165869933328586</v>
      </c>
      <c r="D293" s="5">
        <f t="shared" si="15"/>
        <v>137033.28970821909</v>
      </c>
      <c r="E293">
        <v>90000</v>
      </c>
      <c r="F293" s="4">
        <f t="shared" si="13"/>
        <v>0.52259210786910104</v>
      </c>
    </row>
    <row r="294" spans="1:6" x14ac:dyDescent="0.5">
      <c r="A294" s="3">
        <v>43874</v>
      </c>
      <c r="B294">
        <v>117537.37341607724</v>
      </c>
      <c r="C294" s="6">
        <f>VLOOKUP(A294,fund_value_simple[],8,FALSE)</f>
        <v>1.1598305858784781</v>
      </c>
      <c r="D294" s="5">
        <f t="shared" si="15"/>
        <v>136323.44067178632</v>
      </c>
      <c r="E294">
        <v>90000</v>
      </c>
      <c r="F294" s="4">
        <f t="shared" si="13"/>
        <v>0.51470489635318128</v>
      </c>
    </row>
    <row r="295" spans="1:6" x14ac:dyDescent="0.5">
      <c r="A295" s="3">
        <v>43875</v>
      </c>
      <c r="B295">
        <v>117537.37341607724</v>
      </c>
      <c r="C295" s="6">
        <f>VLOOKUP(A295,fund_value_simple[],8,FALSE)</f>
        <v>1.1591023610374862</v>
      </c>
      <c r="D295" s="5">
        <f t="shared" si="15"/>
        <v>136237.84703671979</v>
      </c>
      <c r="E295">
        <v>90000</v>
      </c>
      <c r="F295" s="4">
        <f t="shared" si="13"/>
        <v>0.51375385596355316</v>
      </c>
    </row>
    <row r="296" spans="1:6" x14ac:dyDescent="0.5">
      <c r="A296" s="3">
        <v>43878</v>
      </c>
      <c r="B296">
        <v>117537.37341607724</v>
      </c>
      <c r="C296" s="6">
        <f>VLOOKUP(A296,fund_value_simple[],8,FALSE)</f>
        <v>1.195892856138304</v>
      </c>
      <c r="D296" s="5">
        <f t="shared" si="15"/>
        <v>140562.10519754697</v>
      </c>
      <c r="E296">
        <v>90000</v>
      </c>
      <c r="F296" s="4">
        <f t="shared" si="13"/>
        <v>0.561801168861633</v>
      </c>
    </row>
    <row r="297" spans="1:6" x14ac:dyDescent="0.5">
      <c r="A297" s="3">
        <v>43879</v>
      </c>
      <c r="B297">
        <v>117537.37341607724</v>
      </c>
      <c r="C297" s="6">
        <f>VLOOKUP(A297,fund_value_simple[],8,FALSE)</f>
        <v>1.2137187501442974</v>
      </c>
      <c r="D297" s="5">
        <f t="shared" si="15"/>
        <v>142657.31395780484</v>
      </c>
      <c r="E297">
        <v>90000</v>
      </c>
      <c r="F297" s="4">
        <f t="shared" si="13"/>
        <v>0.58508126619783163</v>
      </c>
    </row>
    <row r="298" spans="1:6" x14ac:dyDescent="0.5">
      <c r="A298" s="3">
        <v>43880</v>
      </c>
      <c r="B298">
        <v>117537.37341607724</v>
      </c>
      <c r="C298" s="6">
        <f>VLOOKUP(A298,fund_value_simple[],8,FALSE)</f>
        <v>1.198425782722508</v>
      </c>
      <c r="D298" s="5">
        <f t="shared" si="15"/>
        <v>140859.81873531008</v>
      </c>
      <c r="E298">
        <v>90000</v>
      </c>
      <c r="F298" s="4">
        <f t="shared" si="13"/>
        <v>0.56510909705900092</v>
      </c>
    </row>
    <row r="299" spans="1:6" x14ac:dyDescent="0.5">
      <c r="A299" s="3">
        <v>43881</v>
      </c>
      <c r="B299">
        <v>117537.37341607724</v>
      </c>
      <c r="C299" s="6">
        <f>VLOOKUP(A299,fund_value_simple[],8,FALSE)</f>
        <v>1.2352606991173216</v>
      </c>
      <c r="D299" s="5">
        <f t="shared" si="15"/>
        <v>145189.29805835726</v>
      </c>
      <c r="E299">
        <v>90000</v>
      </c>
      <c r="F299" s="4">
        <f t="shared" si="13"/>
        <v>0.61321442287063632</v>
      </c>
    </row>
    <row r="300" spans="1:6" x14ac:dyDescent="0.5">
      <c r="A300" s="3">
        <v>43882</v>
      </c>
      <c r="B300">
        <v>117537.37341607724</v>
      </c>
      <c r="C300" s="6">
        <f>VLOOKUP(A300,fund_value_simple[],8,FALSE)</f>
        <v>1.2579231951994725</v>
      </c>
      <c r="D300" s="5">
        <f t="shared" si="15"/>
        <v>147852.98832290541</v>
      </c>
      <c r="E300">
        <v>90000</v>
      </c>
      <c r="F300" s="4">
        <f t="shared" si="13"/>
        <v>0.64281098136561565</v>
      </c>
    </row>
    <row r="301" spans="1:6" x14ac:dyDescent="0.5">
      <c r="A301" s="3">
        <v>43885</v>
      </c>
      <c r="B301">
        <v>117537.37341607724</v>
      </c>
      <c r="C301" s="6">
        <f>VLOOKUP(A301,fund_value_simple[],8,FALSE)</f>
        <v>1.2914320662164702</v>
      </c>
      <c r="D301" s="5">
        <f t="shared" si="15"/>
        <v>151791.53300838146</v>
      </c>
      <c r="E301">
        <v>90000</v>
      </c>
      <c r="F301" s="4">
        <f t="shared" si="13"/>
        <v>0.68657258898201623</v>
      </c>
    </row>
    <row r="302" spans="1:6" x14ac:dyDescent="0.5">
      <c r="A302" s="3">
        <v>43886</v>
      </c>
      <c r="B302">
        <v>117537.37341607724</v>
      </c>
      <c r="C302" s="6">
        <f>VLOOKUP(A302,fund_value_simple[],8,FALSE)</f>
        <v>1.272042017304297</v>
      </c>
      <c r="D302" s="5">
        <f t="shared" si="15"/>
        <v>149512.47758883535</v>
      </c>
      <c r="E302">
        <v>90000</v>
      </c>
      <c r="F302" s="4">
        <f t="shared" si="13"/>
        <v>0.6612497509870594</v>
      </c>
    </row>
    <row r="303" spans="1:6" x14ac:dyDescent="0.5">
      <c r="A303" s="3">
        <v>43887</v>
      </c>
      <c r="B303">
        <v>117537.37341607724</v>
      </c>
      <c r="C303" s="6">
        <f>VLOOKUP(A303,fund_value_simple[],8,FALSE)</f>
        <v>1.2411718528604458</v>
      </c>
      <c r="D303" s="5">
        <f t="shared" si="15"/>
        <v>145884.07954318271</v>
      </c>
      <c r="E303">
        <v>90000</v>
      </c>
      <c r="F303" s="4">
        <f t="shared" si="13"/>
        <v>0.62093421714647457</v>
      </c>
    </row>
    <row r="304" spans="1:6" x14ac:dyDescent="0.5">
      <c r="A304" s="3">
        <v>43888</v>
      </c>
      <c r="B304">
        <v>117537.37341607724</v>
      </c>
      <c r="C304" s="6">
        <f>VLOOKUP(A304,fund_value_simple[],8,FALSE)</f>
        <v>1.2411718528604458</v>
      </c>
      <c r="D304" s="5">
        <f t="shared" si="15"/>
        <v>145884.07954318271</v>
      </c>
      <c r="E304">
        <v>90000</v>
      </c>
      <c r="F304" s="4">
        <f t="shared" si="13"/>
        <v>0.62093421714647457</v>
      </c>
    </row>
    <row r="305" spans="1:6" x14ac:dyDescent="0.5">
      <c r="A305" s="3">
        <v>43889</v>
      </c>
      <c r="B305">
        <v>117537.37341607724</v>
      </c>
      <c r="C305" s="6">
        <f>VLOOKUP(A305,fund_value_simple[],8,FALSE)</f>
        <v>1.2411718528604458</v>
      </c>
      <c r="D305" s="5">
        <f t="shared" si="15"/>
        <v>145884.07954318271</v>
      </c>
      <c r="E305">
        <v>90000</v>
      </c>
      <c r="F305" s="4">
        <f t="shared" si="13"/>
        <v>0.62093421714647457</v>
      </c>
    </row>
    <row r="306" spans="1:6" x14ac:dyDescent="0.5">
      <c r="A306" s="3">
        <v>43892</v>
      </c>
      <c r="B306">
        <v>117537.37341607724</v>
      </c>
      <c r="C306" s="6">
        <f>VLOOKUP(A306,fund_value_simple[],8,FALSE)</f>
        <v>1.2411718528604458</v>
      </c>
      <c r="D306" s="5">
        <f t="shared" si="15"/>
        <v>145884.07954318271</v>
      </c>
      <c r="E306">
        <v>90000</v>
      </c>
      <c r="F306" s="4">
        <f t="shared" si="13"/>
        <v>0.62093421714647457</v>
      </c>
    </row>
    <row r="307" spans="1:6" x14ac:dyDescent="0.5">
      <c r="A307" s="3">
        <v>43893</v>
      </c>
      <c r="B307">
        <v>117537.37341607724</v>
      </c>
      <c r="C307" s="6">
        <f>VLOOKUP(A307,fund_value_simple[],8,FALSE)</f>
        <v>1.2411718528604458</v>
      </c>
      <c r="D307" s="5">
        <f t="shared" si="15"/>
        <v>145884.07954318271</v>
      </c>
      <c r="E307">
        <v>90000</v>
      </c>
      <c r="F307" s="4">
        <f t="shared" ref="F307:F370" si="16">(D307-E307)/E307</f>
        <v>0.62093421714647457</v>
      </c>
    </row>
    <row r="308" spans="1:6" x14ac:dyDescent="0.5">
      <c r="A308" s="3">
        <v>43894</v>
      </c>
      <c r="B308">
        <v>117537.37341607724</v>
      </c>
      <c r="C308" s="6">
        <f>VLOOKUP(A308,fund_value_simple[],8,FALSE)</f>
        <v>1.2411718528604458</v>
      </c>
      <c r="D308" s="5">
        <f t="shared" si="15"/>
        <v>145884.07954318271</v>
      </c>
      <c r="E308">
        <v>90000</v>
      </c>
      <c r="F308" s="4">
        <f t="shared" si="16"/>
        <v>0.62093421714647457</v>
      </c>
    </row>
    <row r="309" spans="1:6" x14ac:dyDescent="0.5">
      <c r="A309" s="3">
        <v>43895</v>
      </c>
      <c r="B309">
        <v>117537.37341607724</v>
      </c>
      <c r="C309" s="6">
        <f>VLOOKUP(A309,fund_value_simple[],8,FALSE)</f>
        <v>1.2411718528604458</v>
      </c>
      <c r="D309" s="5">
        <f t="shared" si="15"/>
        <v>145884.07954318271</v>
      </c>
      <c r="E309">
        <v>90000</v>
      </c>
      <c r="F309" s="4">
        <f t="shared" si="16"/>
        <v>0.62093421714647457</v>
      </c>
    </row>
    <row r="310" spans="1:6" x14ac:dyDescent="0.5">
      <c r="A310" s="3">
        <v>43896</v>
      </c>
      <c r="B310">
        <v>117537.37341607724</v>
      </c>
      <c r="C310" s="6">
        <f>VLOOKUP(A310,fund_value_simple[],8,FALSE)</f>
        <v>1.2400957826859178</v>
      </c>
      <c r="D310" s="5">
        <f t="shared" si="15"/>
        <v>145757.60108125731</v>
      </c>
      <c r="E310">
        <v>90000</v>
      </c>
      <c r="F310" s="4">
        <f t="shared" si="16"/>
        <v>0.61952890090285895</v>
      </c>
    </row>
    <row r="311" spans="1:6" x14ac:dyDescent="0.5">
      <c r="A311" s="3">
        <v>43899</v>
      </c>
      <c r="B311">
        <v>117537.37341607724</v>
      </c>
      <c r="C311" s="6">
        <f>VLOOKUP(A311,fund_value_simple[],8,FALSE)</f>
        <v>1.2355281313245159</v>
      </c>
      <c r="D311" s="5">
        <f t="shared" si="15"/>
        <v>145220.73133755775</v>
      </c>
      <c r="E311">
        <v>90000</v>
      </c>
      <c r="F311" s="4">
        <f t="shared" si="16"/>
        <v>0.61356368152841945</v>
      </c>
    </row>
    <row r="312" spans="1:6" x14ac:dyDescent="0.5">
      <c r="A312" s="3">
        <v>43900</v>
      </c>
      <c r="B312">
        <v>117537.37341607724</v>
      </c>
      <c r="C312" s="6">
        <f>VLOOKUP(A312,fund_value_simple[],8,FALSE)</f>
        <v>1.2382586533414197</v>
      </c>
      <c r="D312" s="5">
        <f t="shared" si="15"/>
        <v>145541.6697234794</v>
      </c>
      <c r="E312">
        <v>90000</v>
      </c>
      <c r="F312" s="4">
        <f t="shared" si="16"/>
        <v>0.61712966359421551</v>
      </c>
    </row>
    <row r="313" spans="1:6" x14ac:dyDescent="0.5">
      <c r="A313" s="3">
        <v>43901</v>
      </c>
      <c r="B313">
        <v>117537.37341607724</v>
      </c>
      <c r="C313" s="6">
        <f>VLOOKUP(A313,fund_value_simple[],8,FALSE)</f>
        <v>1.2354704123573381</v>
      </c>
      <c r="D313" s="5">
        <f t="shared" si="15"/>
        <v>145213.94720175938</v>
      </c>
      <c r="E313">
        <v>90000</v>
      </c>
      <c r="F313" s="4">
        <f t="shared" si="16"/>
        <v>0.61348830224177087</v>
      </c>
    </row>
    <row r="314" spans="1:6" x14ac:dyDescent="0.5">
      <c r="A314" s="3">
        <v>43902</v>
      </c>
      <c r="B314">
        <v>117537.37341607724</v>
      </c>
      <c r="C314" s="6">
        <f>VLOOKUP(A314,fund_value_simple[],8,FALSE)</f>
        <v>1.2299354797197142</v>
      </c>
      <c r="D314" s="5">
        <f t="shared" si="15"/>
        <v>144563.38575749815</v>
      </c>
      <c r="E314">
        <v>90000</v>
      </c>
      <c r="F314" s="4">
        <f t="shared" si="16"/>
        <v>0.60625984174997949</v>
      </c>
    </row>
    <row r="315" spans="1:6" x14ac:dyDescent="0.5">
      <c r="A315" s="3">
        <v>43903</v>
      </c>
      <c r="B315">
        <v>117537.37341607724</v>
      </c>
      <c r="C315" s="6">
        <f>VLOOKUP(A315,fund_value_simple[],8,FALSE)</f>
        <v>1.2367244871090419</v>
      </c>
      <c r="D315" s="5">
        <f t="shared" si="15"/>
        <v>145361.34785414208</v>
      </c>
      <c r="E315">
        <v>90000</v>
      </c>
      <c r="F315" s="4">
        <f t="shared" si="16"/>
        <v>0.61512608726824536</v>
      </c>
    </row>
    <row r="316" spans="1:6" x14ac:dyDescent="0.5">
      <c r="A316" s="3">
        <v>43906</v>
      </c>
      <c r="B316">
        <v>117537.37341607724</v>
      </c>
      <c r="C316" s="6">
        <f>VLOOKUP(A316,fund_value_simple[],8,FALSE)</f>
        <v>1.234702454369063</v>
      </c>
      <c r="D316" s="5">
        <f t="shared" si="15"/>
        <v>145123.68343692363</v>
      </c>
      <c r="E316">
        <v>90000</v>
      </c>
      <c r="F316" s="4">
        <f t="shared" si="16"/>
        <v>0.61248537152137372</v>
      </c>
    </row>
    <row r="317" spans="1:6" x14ac:dyDescent="0.5">
      <c r="A317" s="3">
        <v>43907</v>
      </c>
      <c r="B317">
        <v>117537.37341607724</v>
      </c>
      <c r="C317" s="6">
        <f>VLOOKUP(A317,fund_value_simple[],8,FALSE)</f>
        <v>1.234702454369063</v>
      </c>
      <c r="D317" s="5">
        <f t="shared" si="15"/>
        <v>145123.68343692363</v>
      </c>
      <c r="E317">
        <v>90000</v>
      </c>
      <c r="F317" s="4">
        <f t="shared" si="16"/>
        <v>0.61248537152137372</v>
      </c>
    </row>
    <row r="318" spans="1:6" x14ac:dyDescent="0.5">
      <c r="A318" s="3">
        <v>43908</v>
      </c>
      <c r="B318">
        <v>117537.37341607724</v>
      </c>
      <c r="C318" s="6">
        <f>VLOOKUP(A318,fund_value_simple[],8,FALSE)</f>
        <v>1.234702454369063</v>
      </c>
      <c r="D318" s="5">
        <f t="shared" si="15"/>
        <v>145123.68343692363</v>
      </c>
      <c r="E318">
        <v>90000</v>
      </c>
      <c r="F318" s="4">
        <f t="shared" si="16"/>
        <v>0.61248537152137372</v>
      </c>
    </row>
    <row r="319" spans="1:6" x14ac:dyDescent="0.5">
      <c r="A319" s="3">
        <v>43909</v>
      </c>
      <c r="B319">
        <v>117537.37341607724</v>
      </c>
      <c r="C319" s="6">
        <f>VLOOKUP(A319,fund_value_simple[],8,FALSE)</f>
        <v>1.234702454369063</v>
      </c>
      <c r="D319" s="5">
        <f t="shared" si="15"/>
        <v>145123.68343692363</v>
      </c>
      <c r="E319">
        <v>90000</v>
      </c>
      <c r="F319" s="4">
        <f t="shared" si="16"/>
        <v>0.61248537152137372</v>
      </c>
    </row>
    <row r="320" spans="1:6" x14ac:dyDescent="0.5">
      <c r="A320" s="3">
        <v>43910</v>
      </c>
      <c r="B320">
        <v>117537.37341607724</v>
      </c>
      <c r="C320" s="6">
        <f>VLOOKUP(A320,fund_value_simple[],8,FALSE)</f>
        <v>1.2347331931180394</v>
      </c>
      <c r="D320" s="5">
        <f t="shared" si="15"/>
        <v>145127.29638874042</v>
      </c>
      <c r="E320">
        <v>90000</v>
      </c>
      <c r="F320" s="4">
        <f t="shared" si="16"/>
        <v>0.61252551543044909</v>
      </c>
    </row>
    <row r="321" spans="1:6" x14ac:dyDescent="0.5">
      <c r="A321" s="3">
        <v>43913</v>
      </c>
      <c r="B321">
        <v>117537.37341607724</v>
      </c>
      <c r="C321" s="6">
        <f>VLOOKUP(A321,fund_value_simple[],8,FALSE)</f>
        <v>1.2347331931180399</v>
      </c>
      <c r="D321" s="5">
        <f t="shared" si="15"/>
        <v>145127.29638874048</v>
      </c>
      <c r="E321">
        <v>90000</v>
      </c>
      <c r="F321" s="4">
        <f t="shared" si="16"/>
        <v>0.61252551543044975</v>
      </c>
    </row>
    <row r="322" spans="1:6" x14ac:dyDescent="0.5">
      <c r="A322" s="3">
        <v>43914</v>
      </c>
      <c r="B322">
        <v>117537.37341607724</v>
      </c>
      <c r="C322" s="6">
        <f>VLOOKUP(A322,fund_value_simple[],8,FALSE)</f>
        <v>1.2347331931180399</v>
      </c>
      <c r="D322" s="5">
        <f t="shared" si="15"/>
        <v>145127.29638874048</v>
      </c>
      <c r="E322">
        <v>90000</v>
      </c>
      <c r="F322" s="4">
        <f t="shared" si="16"/>
        <v>0.61252551543044975</v>
      </c>
    </row>
    <row r="323" spans="1:6" x14ac:dyDescent="0.5">
      <c r="A323" s="3">
        <v>43915</v>
      </c>
      <c r="B323">
        <v>117537.37341607724</v>
      </c>
      <c r="C323" s="6">
        <f>VLOOKUP(A323,fund_value_simple[],8,FALSE)</f>
        <v>1.2347331931180399</v>
      </c>
      <c r="D323" s="5">
        <f t="shared" si="15"/>
        <v>145127.29638874048</v>
      </c>
      <c r="E323">
        <v>90000</v>
      </c>
      <c r="F323" s="4">
        <f t="shared" si="16"/>
        <v>0.61252551543044975</v>
      </c>
    </row>
    <row r="324" spans="1:6" x14ac:dyDescent="0.5">
      <c r="A324" s="3">
        <v>43916</v>
      </c>
      <c r="B324">
        <v>117537.37341607724</v>
      </c>
      <c r="C324" s="6">
        <f>VLOOKUP(A324,fund_value_simple[],8,FALSE)</f>
        <v>1.2347331931180399</v>
      </c>
      <c r="D324" s="5">
        <f t="shared" si="15"/>
        <v>145127.29638874048</v>
      </c>
      <c r="E324">
        <v>90000</v>
      </c>
      <c r="F324" s="4">
        <f t="shared" si="16"/>
        <v>0.61252551543044975</v>
      </c>
    </row>
    <row r="325" spans="1:6" x14ac:dyDescent="0.5">
      <c r="A325" s="3">
        <v>43917</v>
      </c>
      <c r="B325">
        <v>117537.37341607724</v>
      </c>
      <c r="C325" s="6">
        <f>VLOOKUP(A325,fund_value_simple[],8,FALSE)</f>
        <v>1.2347331931180399</v>
      </c>
      <c r="D325" s="5">
        <f t="shared" si="15"/>
        <v>145127.29638874048</v>
      </c>
      <c r="E325">
        <v>90000</v>
      </c>
      <c r="F325" s="4">
        <f t="shared" si="16"/>
        <v>0.61252551543044975</v>
      </c>
    </row>
    <row r="326" spans="1:6" x14ac:dyDescent="0.5">
      <c r="A326" s="3">
        <v>43920</v>
      </c>
      <c r="B326">
        <v>117537.37341607724</v>
      </c>
      <c r="C326" s="6">
        <f>VLOOKUP(A326,fund_value_simple[],8,FALSE)</f>
        <v>1.2347331931180399</v>
      </c>
      <c r="D326" s="5">
        <f t="shared" si="15"/>
        <v>145127.29638874048</v>
      </c>
      <c r="E326">
        <v>90000</v>
      </c>
      <c r="F326" s="4">
        <f t="shared" si="16"/>
        <v>0.61252551543044975</v>
      </c>
    </row>
    <row r="327" spans="1:6" x14ac:dyDescent="0.5">
      <c r="A327" s="3">
        <v>43921</v>
      </c>
      <c r="B327" s="2">
        <v>198526.53006737985</v>
      </c>
      <c r="C327" s="6">
        <f>VLOOKUP(A327,fund_value_simple[],8,FALSE)</f>
        <v>1.2347331931180399</v>
      </c>
      <c r="D327" s="5">
        <f t="shared" si="15"/>
        <v>245127.29638874048</v>
      </c>
      <c r="E327">
        <v>190000</v>
      </c>
      <c r="F327" s="4">
        <f t="shared" si="16"/>
        <v>0.29014366520389723</v>
      </c>
    </row>
    <row r="328" spans="1:6" x14ac:dyDescent="0.5">
      <c r="A328" s="3">
        <v>43922</v>
      </c>
      <c r="B328" s="2">
        <v>198526.53006737985</v>
      </c>
      <c r="C328" s="6">
        <f>VLOOKUP(A328,fund_value_simple[],8,FALSE)</f>
        <v>1.2347331931180399</v>
      </c>
      <c r="D328" s="5">
        <f t="shared" si="15"/>
        <v>245127.29638874048</v>
      </c>
      <c r="E328">
        <v>190000</v>
      </c>
      <c r="F328" s="4">
        <f t="shared" si="16"/>
        <v>0.29014366520389723</v>
      </c>
    </row>
    <row r="329" spans="1:6" x14ac:dyDescent="0.5">
      <c r="A329" s="3">
        <v>43923</v>
      </c>
      <c r="B329" s="2">
        <v>198526.53006737985</v>
      </c>
      <c r="C329" s="6">
        <f>VLOOKUP(A329,fund_value_simple[],8,FALSE)</f>
        <v>1.2347331931180399</v>
      </c>
      <c r="D329" s="5">
        <f t="shared" si="15"/>
        <v>245127.29638874048</v>
      </c>
      <c r="E329">
        <v>190000</v>
      </c>
      <c r="F329" s="4">
        <f t="shared" si="16"/>
        <v>0.29014366520389723</v>
      </c>
    </row>
    <row r="330" spans="1:6" x14ac:dyDescent="0.5">
      <c r="A330" s="3">
        <v>43924</v>
      </c>
      <c r="B330" s="2">
        <v>198526.53006737985</v>
      </c>
      <c r="C330" s="6">
        <f>VLOOKUP(A330,fund_value_simple[],8,FALSE)</f>
        <v>1.2347331931180399</v>
      </c>
      <c r="D330" s="5">
        <f t="shared" si="15"/>
        <v>245127.29638874048</v>
      </c>
      <c r="E330">
        <v>190000</v>
      </c>
      <c r="F330" s="4">
        <f t="shared" si="16"/>
        <v>0.29014366520389723</v>
      </c>
    </row>
    <row r="331" spans="1:6" x14ac:dyDescent="0.5">
      <c r="A331" s="3">
        <v>43928</v>
      </c>
      <c r="B331" s="2">
        <v>198526.53006737985</v>
      </c>
      <c r="C331" s="6">
        <f>VLOOKUP(A331,fund_value_simple[],8,FALSE)</f>
        <v>1.2347331931180399</v>
      </c>
      <c r="D331" s="5">
        <f t="shared" si="15"/>
        <v>245127.29638874048</v>
      </c>
      <c r="E331">
        <v>190000</v>
      </c>
      <c r="F331" s="4">
        <f t="shared" si="16"/>
        <v>0.29014366520389723</v>
      </c>
    </row>
    <row r="332" spans="1:6" x14ac:dyDescent="0.5">
      <c r="A332" s="3">
        <v>43929</v>
      </c>
      <c r="B332" s="2">
        <v>198526.53006737985</v>
      </c>
      <c r="C332" s="6">
        <f>VLOOKUP(A332,fund_value_simple[],8,FALSE)</f>
        <v>1.2347331931180399</v>
      </c>
      <c r="D332" s="5">
        <f t="shared" si="15"/>
        <v>245127.29638874048</v>
      </c>
      <c r="E332">
        <v>190000</v>
      </c>
      <c r="F332" s="4">
        <f t="shared" si="16"/>
        <v>0.29014366520389723</v>
      </c>
    </row>
    <row r="333" spans="1:6" x14ac:dyDescent="0.5">
      <c r="A333" s="3">
        <v>43930</v>
      </c>
      <c r="B333" s="2">
        <v>198526.53006737985</v>
      </c>
      <c r="C333" s="6">
        <f>VLOOKUP(A333,fund_value_simple[],8,FALSE)</f>
        <v>1.2346740570186012</v>
      </c>
      <c r="D333" s="5">
        <f t="shared" si="15"/>
        <v>245115.5563041172</v>
      </c>
      <c r="E333">
        <v>190000</v>
      </c>
      <c r="F333" s="4">
        <f t="shared" si="16"/>
        <v>0.29008187528482737</v>
      </c>
    </row>
    <row r="334" spans="1:6" x14ac:dyDescent="0.5">
      <c r="A334" s="3">
        <v>43931</v>
      </c>
      <c r="B334" s="2">
        <v>198526.53006737985</v>
      </c>
      <c r="C334" s="6">
        <f>VLOOKUP(A334,fund_value_simple[],8,FALSE)</f>
        <v>1.2297866502421266</v>
      </c>
      <c r="D334" s="5">
        <f t="shared" si="15"/>
        <v>244145.27639575591</v>
      </c>
      <c r="E334">
        <v>190000</v>
      </c>
      <c r="F334" s="4">
        <f t="shared" si="16"/>
        <v>0.28497513892503107</v>
      </c>
    </row>
    <row r="335" spans="1:6" x14ac:dyDescent="0.5">
      <c r="A335" s="3">
        <v>43934</v>
      </c>
      <c r="B335" s="2">
        <v>198526.53006737985</v>
      </c>
      <c r="C335" s="6">
        <f>VLOOKUP(A335,fund_value_simple[],8,FALSE)</f>
        <v>1.227481499507054</v>
      </c>
      <c r="D335" s="5">
        <f t="shared" si="15"/>
        <v>243687.64281903967</v>
      </c>
      <c r="E335">
        <v>190000</v>
      </c>
      <c r="F335" s="4">
        <f t="shared" si="16"/>
        <v>0.28256654115284036</v>
      </c>
    </row>
    <row r="336" spans="1:6" x14ac:dyDescent="0.5">
      <c r="A336" s="3">
        <v>43935</v>
      </c>
      <c r="B336" s="2">
        <v>198526.53006737985</v>
      </c>
      <c r="C336" s="6">
        <f>VLOOKUP(A336,fund_value_simple[],8,FALSE)</f>
        <v>1.2373460829988012</v>
      </c>
      <c r="D336" s="5">
        <f t="shared" si="15"/>
        <v>245646.0243502162</v>
      </c>
      <c r="E336">
        <v>190000</v>
      </c>
      <c r="F336" s="4">
        <f t="shared" si="16"/>
        <v>0.29287381236955895</v>
      </c>
    </row>
    <row r="337" spans="1:6" x14ac:dyDescent="0.5">
      <c r="A337" s="3">
        <v>43936</v>
      </c>
      <c r="B337" s="2">
        <v>198526.53006737985</v>
      </c>
      <c r="C337" s="6">
        <f>VLOOKUP(A337,fund_value_simple[],8,FALSE)</f>
        <v>1.2325223908889296</v>
      </c>
      <c r="D337" s="5">
        <f t="shared" si="15"/>
        <v>244688.39349352996</v>
      </c>
      <c r="E337">
        <v>190000</v>
      </c>
      <c r="F337" s="4">
        <f t="shared" si="16"/>
        <v>0.28783364996594718</v>
      </c>
    </row>
    <row r="338" spans="1:6" x14ac:dyDescent="0.5">
      <c r="A338" s="3">
        <v>43937</v>
      </c>
      <c r="B338" s="2">
        <v>198526.53006737985</v>
      </c>
      <c r="C338" s="6">
        <f>VLOOKUP(A338,fund_value_simple[],8,FALSE)</f>
        <v>1.2334664122658996</v>
      </c>
      <c r="D338" s="5">
        <f t="shared" si="15"/>
        <v>244875.80678180925</v>
      </c>
      <c r="E338">
        <v>190000</v>
      </c>
      <c r="F338" s="4">
        <f t="shared" si="16"/>
        <v>0.28882003569373293</v>
      </c>
    </row>
    <row r="339" spans="1:6" x14ac:dyDescent="0.5">
      <c r="A339" s="3">
        <v>43938</v>
      </c>
      <c r="B339" s="2">
        <v>198526.53006737985</v>
      </c>
      <c r="C339" s="6">
        <f>VLOOKUP(A339,fund_value_simple[],8,FALSE)</f>
        <v>1.2377129271897969</v>
      </c>
      <c r="D339" s="5">
        <f t="shared" si="15"/>
        <v>245718.85265452994</v>
      </c>
      <c r="E339">
        <v>190000</v>
      </c>
      <c r="F339" s="4">
        <f t="shared" si="16"/>
        <v>0.29325711923436809</v>
      </c>
    </row>
    <row r="340" spans="1:6" x14ac:dyDescent="0.5">
      <c r="A340" s="3">
        <v>43941</v>
      </c>
      <c r="B340" s="2">
        <v>198526.53006737985</v>
      </c>
      <c r="C340" s="6">
        <f>VLOOKUP(A340,fund_value_simple[],8,FALSE)</f>
        <v>1.2411738768275511</v>
      </c>
      <c r="D340" s="5">
        <f t="shared" si="15"/>
        <v>246405.94297685122</v>
      </c>
      <c r="E340">
        <v>190000</v>
      </c>
      <c r="F340" s="4">
        <f t="shared" si="16"/>
        <v>0.29687338408869063</v>
      </c>
    </row>
    <row r="341" spans="1:6" x14ac:dyDescent="0.5">
      <c r="A341" s="3">
        <v>43942</v>
      </c>
      <c r="B341" s="2">
        <v>198526.53006737985</v>
      </c>
      <c r="C341" s="6">
        <f>VLOOKUP(A341,fund_value_simple[],8,FALSE)</f>
        <v>1.2315957726447329</v>
      </c>
      <c r="D341" s="5">
        <f t="shared" ref="D341:D381" si="17">B341*C341</f>
        <v>244504.43518881247</v>
      </c>
      <c r="E341">
        <v>190000</v>
      </c>
      <c r="F341" s="4">
        <f t="shared" si="16"/>
        <v>0.28686544836217087</v>
      </c>
    </row>
    <row r="342" spans="1:6" x14ac:dyDescent="0.5">
      <c r="A342" s="3">
        <v>43943</v>
      </c>
      <c r="B342" s="2">
        <v>198526.53006737985</v>
      </c>
      <c r="C342" s="6">
        <f>VLOOKUP(A342,fund_value_simple[],8,FALSE)</f>
        <v>1.2357834293989167</v>
      </c>
      <c r="D342" s="5">
        <f t="shared" si="17"/>
        <v>245335.79615333382</v>
      </c>
      <c r="E342">
        <v>190000</v>
      </c>
      <c r="F342" s="4">
        <f t="shared" si="16"/>
        <v>0.29124103238596749</v>
      </c>
    </row>
    <row r="343" spans="1:6" x14ac:dyDescent="0.5">
      <c r="A343" s="3">
        <v>43944</v>
      </c>
      <c r="B343" s="2">
        <v>198526.53006737985</v>
      </c>
      <c r="C343" s="6">
        <f>VLOOKUP(A343,fund_value_simple[],8,FALSE)</f>
        <v>1.2373781420022096</v>
      </c>
      <c r="D343" s="5">
        <f t="shared" si="17"/>
        <v>245652.38891292029</v>
      </c>
      <c r="E343">
        <v>190000</v>
      </c>
      <c r="F343" s="4">
        <f t="shared" si="16"/>
        <v>0.29290731006800153</v>
      </c>
    </row>
    <row r="344" spans="1:6" x14ac:dyDescent="0.5">
      <c r="A344" s="3">
        <v>43945</v>
      </c>
      <c r="B344" s="2">
        <v>198526.53006737985</v>
      </c>
      <c r="C344" s="6">
        <f>VLOOKUP(A344,fund_value_simple[],8,FALSE)</f>
        <v>1.2328952053397655</v>
      </c>
      <c r="D344" s="5">
        <f t="shared" si="17"/>
        <v>244762.40705281342</v>
      </c>
      <c r="E344">
        <v>190000</v>
      </c>
      <c r="F344" s="4">
        <f t="shared" si="16"/>
        <v>0.28822319501480748</v>
      </c>
    </row>
    <row r="345" spans="1:6" x14ac:dyDescent="0.5">
      <c r="A345" s="3">
        <v>43948</v>
      </c>
      <c r="B345" s="2">
        <v>198526.53006737985</v>
      </c>
      <c r="C345" s="6">
        <f>VLOOKUP(A345,fund_value_simple[],8,FALSE)</f>
        <v>1.2382030488242408</v>
      </c>
      <c r="D345" s="5">
        <f t="shared" si="17"/>
        <v>245816.15480192704</v>
      </c>
      <c r="E345">
        <v>190000</v>
      </c>
      <c r="F345" s="4">
        <f t="shared" si="16"/>
        <v>0.293769235799616</v>
      </c>
    </row>
    <row r="346" spans="1:6" x14ac:dyDescent="0.5">
      <c r="A346" s="3">
        <v>43949</v>
      </c>
      <c r="B346" s="2">
        <v>198526.53006737985</v>
      </c>
      <c r="C346" s="6">
        <f>VLOOKUP(A346,fund_value_simple[],8,FALSE)</f>
        <v>1.2359208244920603</v>
      </c>
      <c r="D346" s="5">
        <f t="shared" si="17"/>
        <v>245363.0727244239</v>
      </c>
      <c r="E346">
        <v>190000</v>
      </c>
      <c r="F346" s="4">
        <f t="shared" si="16"/>
        <v>0.29138459328644156</v>
      </c>
    </row>
    <row r="347" spans="1:6" x14ac:dyDescent="0.5">
      <c r="A347" s="3">
        <v>43950</v>
      </c>
      <c r="B347" s="2">
        <v>198526.53006737985</v>
      </c>
      <c r="C347" s="6">
        <f>VLOOKUP(A347,fund_value_simple[],8,FALSE)</f>
        <v>1.2378688116310734</v>
      </c>
      <c r="D347" s="5">
        <f t="shared" si="17"/>
        <v>245749.79985174807</v>
      </c>
      <c r="E347">
        <v>190000</v>
      </c>
      <c r="F347" s="4">
        <f t="shared" si="16"/>
        <v>0.29341999921972672</v>
      </c>
    </row>
    <row r="348" spans="1:6" x14ac:dyDescent="0.5">
      <c r="A348" s="3">
        <v>43951</v>
      </c>
      <c r="B348" s="2">
        <v>198526.53006737985</v>
      </c>
      <c r="C348" s="6">
        <f>VLOOKUP(A348,fund_value_simple[],8,FALSE)</f>
        <v>1.2537296551542974</v>
      </c>
      <c r="D348" s="5">
        <f t="shared" si="17"/>
        <v>248898.59808035538</v>
      </c>
      <c r="E348">
        <v>190000</v>
      </c>
      <c r="F348" s="4">
        <f t="shared" si="16"/>
        <v>0.30999262147555467</v>
      </c>
    </row>
    <row r="349" spans="1:6" x14ac:dyDescent="0.5">
      <c r="A349" s="3">
        <v>43957</v>
      </c>
      <c r="B349" s="2">
        <v>198526.53006737985</v>
      </c>
      <c r="C349" s="6">
        <f>VLOOKUP(A349,fund_value_simple[],8,FALSE)</f>
        <v>1.2520040167837412</v>
      </c>
      <c r="D349" s="5">
        <f t="shared" si="17"/>
        <v>248556.01308249772</v>
      </c>
      <c r="E349">
        <v>190000</v>
      </c>
      <c r="F349" s="4">
        <f t="shared" si="16"/>
        <v>0.30818954253946168</v>
      </c>
    </row>
    <row r="350" spans="1:6" x14ac:dyDescent="0.5">
      <c r="A350" s="3">
        <v>43958</v>
      </c>
      <c r="B350" s="2">
        <v>198526.53006737985</v>
      </c>
      <c r="C350" s="6">
        <f>VLOOKUP(A350,fund_value_simple[],8,FALSE)</f>
        <v>1.2465961343137566</v>
      </c>
      <c r="D350" s="5">
        <f t="shared" si="17"/>
        <v>247482.40494071948</v>
      </c>
      <c r="E350">
        <v>190000</v>
      </c>
      <c r="F350" s="4">
        <f t="shared" si="16"/>
        <v>0.30253897337220781</v>
      </c>
    </row>
    <row r="351" spans="1:6" x14ac:dyDescent="0.5">
      <c r="A351" s="3">
        <v>43959</v>
      </c>
      <c r="B351" s="2">
        <v>198526.53006737985</v>
      </c>
      <c r="C351" s="6">
        <f>VLOOKUP(A351,fund_value_simple[],8,FALSE)</f>
        <v>1.256115166616097</v>
      </c>
      <c r="D351" s="5">
        <f t="shared" si="17"/>
        <v>249372.18539330244</v>
      </c>
      <c r="E351">
        <v>190000</v>
      </c>
      <c r="F351" s="4">
        <f t="shared" si="16"/>
        <v>0.31248518628053917</v>
      </c>
    </row>
    <row r="352" spans="1:6" x14ac:dyDescent="0.5">
      <c r="A352" s="3">
        <v>43962</v>
      </c>
      <c r="B352" s="2">
        <v>198526.53006737985</v>
      </c>
      <c r="C352" s="6">
        <f>VLOOKUP(A352,fund_value_simple[],8,FALSE)</f>
        <v>1.2538853333233426</v>
      </c>
      <c r="D352" s="5">
        <f t="shared" si="17"/>
        <v>248929.50432706319</v>
      </c>
      <c r="E352">
        <v>190000</v>
      </c>
      <c r="F352" s="4">
        <f t="shared" si="16"/>
        <v>0.3101552859319115</v>
      </c>
    </row>
    <row r="353" spans="1:6" x14ac:dyDescent="0.5">
      <c r="A353" s="3">
        <v>43963</v>
      </c>
      <c r="B353" s="2">
        <v>198526.53006737985</v>
      </c>
      <c r="C353" s="6">
        <f>VLOOKUP(A353,fund_value_simple[],8,FALSE)</f>
        <v>1.2533455174573407</v>
      </c>
      <c r="D353" s="5">
        <f t="shared" si="17"/>
        <v>248822.3365563105</v>
      </c>
      <c r="E353">
        <v>190000</v>
      </c>
      <c r="F353" s="4">
        <f t="shared" si="16"/>
        <v>0.30959124503321317</v>
      </c>
    </row>
    <row r="354" spans="1:6" x14ac:dyDescent="0.5">
      <c r="A354" s="3">
        <v>43964</v>
      </c>
      <c r="B354" s="2">
        <v>198526.53006737985</v>
      </c>
      <c r="C354" s="6">
        <f>VLOOKUP(A354,fund_value_simple[],8,FALSE)</f>
        <v>1.2591495729768341</v>
      </c>
      <c r="D354" s="5">
        <f t="shared" si="17"/>
        <v>249974.59555891395</v>
      </c>
      <c r="E354">
        <v>190000</v>
      </c>
      <c r="F354" s="4">
        <f t="shared" si="16"/>
        <v>0.3156557660995471</v>
      </c>
    </row>
    <row r="355" spans="1:6" x14ac:dyDescent="0.5">
      <c r="A355" s="3">
        <v>43965</v>
      </c>
      <c r="B355" s="2">
        <v>198526.53006737985</v>
      </c>
      <c r="C355" s="6">
        <f>VLOOKUP(A355,fund_value_simple[],8,FALSE)</f>
        <v>1.2498056655291858</v>
      </c>
      <c r="D355" s="5">
        <f t="shared" si="17"/>
        <v>248119.58203606159</v>
      </c>
      <c r="E355">
        <v>190000</v>
      </c>
      <c r="F355" s="4">
        <f t="shared" si="16"/>
        <v>0.30589253703190311</v>
      </c>
    </row>
    <row r="356" spans="1:6" x14ac:dyDescent="0.5">
      <c r="A356" s="3">
        <v>43966</v>
      </c>
      <c r="B356" s="2">
        <v>198526.53006737985</v>
      </c>
      <c r="C356" s="6">
        <f>VLOOKUP(A356,fund_value_simple[],8,FALSE)</f>
        <v>1.2528621189441969</v>
      </c>
      <c r="D356" s="5">
        <f t="shared" si="17"/>
        <v>248726.36912685633</v>
      </c>
      <c r="E356">
        <v>190000</v>
      </c>
      <c r="F356" s="4">
        <f t="shared" si="16"/>
        <v>0.30908615329924383</v>
      </c>
    </row>
    <row r="357" spans="1:6" x14ac:dyDescent="0.5">
      <c r="A357" s="3">
        <v>43969</v>
      </c>
      <c r="B357" s="2">
        <v>198526.53006737985</v>
      </c>
      <c r="C357" s="6">
        <f>VLOOKUP(A357,fund_value_simple[],8,FALSE)</f>
        <v>1.2552648627586811</v>
      </c>
      <c r="D357" s="5">
        <f t="shared" si="17"/>
        <v>249203.37751898673</v>
      </c>
      <c r="E357">
        <v>190000</v>
      </c>
      <c r="F357" s="4">
        <f t="shared" si="16"/>
        <v>0.31159672378414066</v>
      </c>
    </row>
    <row r="358" spans="1:6" x14ac:dyDescent="0.5">
      <c r="A358" s="3">
        <v>43970</v>
      </c>
      <c r="B358" s="2">
        <v>198526.53006737985</v>
      </c>
      <c r="C358" s="6">
        <f>VLOOKUP(A358,fund_value_simple[],8,FALSE)</f>
        <v>1.2688011083312356</v>
      </c>
      <c r="D358" s="5">
        <f t="shared" si="17"/>
        <v>251890.68138264591</v>
      </c>
      <c r="E358">
        <v>190000</v>
      </c>
      <c r="F358" s="4">
        <f t="shared" si="16"/>
        <v>0.32574042832971534</v>
      </c>
    </row>
    <row r="359" spans="1:6" x14ac:dyDescent="0.5">
      <c r="A359" s="3">
        <v>43971</v>
      </c>
      <c r="B359" s="2">
        <v>198526.53006737985</v>
      </c>
      <c r="C359" s="6">
        <f>VLOOKUP(A359,fund_value_simple[],8,FALSE)</f>
        <v>1.2629857576534051</v>
      </c>
      <c r="D359" s="5">
        <f t="shared" si="17"/>
        <v>250736.17999145127</v>
      </c>
      <c r="E359">
        <v>190000</v>
      </c>
      <c r="F359" s="4">
        <f t="shared" si="16"/>
        <v>0.31966410521816457</v>
      </c>
    </row>
    <row r="360" spans="1:6" x14ac:dyDescent="0.5">
      <c r="A360" s="3">
        <v>43972</v>
      </c>
      <c r="B360" s="2">
        <v>198526.53006737985</v>
      </c>
      <c r="C360" s="6">
        <f>VLOOKUP(A360,fund_value_simple[],8,FALSE)</f>
        <v>1.2551403465618143</v>
      </c>
      <c r="D360" s="5">
        <f t="shared" si="17"/>
        <v>249178.65775048558</v>
      </c>
      <c r="E360">
        <v>190000</v>
      </c>
      <c r="F360" s="4">
        <f t="shared" si="16"/>
        <v>0.31146661973939782</v>
      </c>
    </row>
    <row r="361" spans="1:6" x14ac:dyDescent="0.5">
      <c r="A361" s="3">
        <v>43973</v>
      </c>
      <c r="B361" s="2">
        <v>198526.53006737985</v>
      </c>
      <c r="C361" s="6">
        <f>VLOOKUP(A361,fund_value_simple[],8,FALSE)</f>
        <v>1.2341886487894993</v>
      </c>
      <c r="D361" s="5">
        <f t="shared" si="17"/>
        <v>245019.18989272745</v>
      </c>
      <c r="E361">
        <v>190000</v>
      </c>
      <c r="F361" s="4">
        <f t="shared" si="16"/>
        <v>0.28957468364593392</v>
      </c>
    </row>
    <row r="362" spans="1:6" x14ac:dyDescent="0.5">
      <c r="A362" s="3">
        <v>43976</v>
      </c>
      <c r="B362" s="2">
        <v>198526.53006737985</v>
      </c>
      <c r="C362" s="6">
        <f>VLOOKUP(A362,fund_value_simple[],8,FALSE)</f>
        <v>1.2351806006090442</v>
      </c>
      <c r="D362" s="5">
        <f t="shared" si="17"/>
        <v>245216.11864545572</v>
      </c>
      <c r="E362">
        <v>190000</v>
      </c>
      <c r="F362" s="4">
        <f t="shared" si="16"/>
        <v>0.29061115076555638</v>
      </c>
    </row>
    <row r="363" spans="1:6" x14ac:dyDescent="0.5">
      <c r="A363" s="3">
        <v>43977</v>
      </c>
      <c r="B363" s="2">
        <v>198526.53006737985</v>
      </c>
      <c r="C363" s="6">
        <f>VLOOKUP(A363,fund_value_simple[],8,FALSE)</f>
        <v>1.2450634839190113</v>
      </c>
      <c r="D363" s="5">
        <f t="shared" si="17"/>
        <v>247178.1331760443</v>
      </c>
      <c r="E363">
        <v>190000</v>
      </c>
      <c r="F363" s="4">
        <f t="shared" si="16"/>
        <v>0.30093754303181208</v>
      </c>
    </row>
    <row r="364" spans="1:6" x14ac:dyDescent="0.5">
      <c r="A364" s="3">
        <v>43978</v>
      </c>
      <c r="B364" s="2">
        <v>198526.53006737985</v>
      </c>
      <c r="C364" s="6">
        <f>VLOOKUP(A364,fund_value_simple[],8,FALSE)</f>
        <v>1.2357530273217978</v>
      </c>
      <c r="D364" s="5">
        <f t="shared" si="17"/>
        <v>245329.76053445655</v>
      </c>
      <c r="E364">
        <v>190000</v>
      </c>
      <c r="F364" s="4">
        <f t="shared" si="16"/>
        <v>0.29120926597082397</v>
      </c>
    </row>
    <row r="365" spans="1:6" x14ac:dyDescent="0.5">
      <c r="A365" s="3">
        <v>43979</v>
      </c>
      <c r="B365" s="2">
        <v>198526.53006737985</v>
      </c>
      <c r="C365" s="6">
        <f>VLOOKUP(A365,fund_value_simple[],8,FALSE)</f>
        <v>1.2341521199384216</v>
      </c>
      <c r="D365" s="5">
        <f t="shared" si="17"/>
        <v>245011.93794667564</v>
      </c>
      <c r="E365">
        <v>190000</v>
      </c>
      <c r="F365" s="4">
        <f t="shared" si="16"/>
        <v>0.28953651550881915</v>
      </c>
    </row>
    <row r="366" spans="1:6" x14ac:dyDescent="0.5">
      <c r="A366" s="3">
        <v>43980</v>
      </c>
      <c r="B366" s="2">
        <v>198526.53006737985</v>
      </c>
      <c r="C366" s="6">
        <f>VLOOKUP(A366,fund_value_simple[],8,FALSE)</f>
        <v>1.2381198211821991</v>
      </c>
      <c r="D366" s="5">
        <f t="shared" si="17"/>
        <v>245799.6319069468</v>
      </c>
      <c r="E366">
        <v>190000</v>
      </c>
      <c r="F366" s="4">
        <f t="shared" si="16"/>
        <v>0.29368227319445683</v>
      </c>
    </row>
    <row r="367" spans="1:6" x14ac:dyDescent="0.5">
      <c r="A367" s="3">
        <v>43983</v>
      </c>
      <c r="B367" s="2">
        <v>198526.53006737985</v>
      </c>
      <c r="C367" s="6">
        <f>VLOOKUP(A367,fund_value_simple[],8,FALSE)</f>
        <v>1.25932999901336</v>
      </c>
      <c r="D367" s="5">
        <f t="shared" si="17"/>
        <v>250010.41491387924</v>
      </c>
      <c r="E367">
        <v>190000</v>
      </c>
      <c r="F367" s="4">
        <f t="shared" si="16"/>
        <v>0.31584428902041706</v>
      </c>
    </row>
    <row r="368" spans="1:6" x14ac:dyDescent="0.5">
      <c r="A368" s="3">
        <v>43984</v>
      </c>
      <c r="B368" s="2">
        <v>198526.53006737985</v>
      </c>
      <c r="C368" s="6">
        <f>VLOOKUP(A368,fund_value_simple[],8,FALSE)</f>
        <v>1.2546356440208555</v>
      </c>
      <c r="D368" s="5">
        <f t="shared" si="17"/>
        <v>249078.46090631286</v>
      </c>
      <c r="E368">
        <v>190000</v>
      </c>
      <c r="F368" s="4">
        <f t="shared" si="16"/>
        <v>0.31093926792796239</v>
      </c>
    </row>
    <row r="369" spans="1:6" x14ac:dyDescent="0.5">
      <c r="A369" s="3">
        <v>43985</v>
      </c>
      <c r="B369" s="2">
        <v>198526.53006737985</v>
      </c>
      <c r="C369" s="6">
        <f>VLOOKUP(A369,fund_value_simple[],8,FALSE)</f>
        <v>1.2494742074927987</v>
      </c>
      <c r="D369" s="5">
        <f t="shared" si="17"/>
        <v>248053.77882223472</v>
      </c>
      <c r="E369">
        <v>190000</v>
      </c>
      <c r="F369" s="4">
        <f t="shared" si="16"/>
        <v>0.30554620432755114</v>
      </c>
    </row>
    <row r="370" spans="1:6" x14ac:dyDescent="0.5">
      <c r="A370" s="3">
        <v>43986</v>
      </c>
      <c r="B370" s="2">
        <v>198526.53006737985</v>
      </c>
      <c r="C370" s="6">
        <f>VLOOKUP(A370,fund_value_simple[],8,FALSE)</f>
        <v>1.2513837810169224</v>
      </c>
      <c r="D370" s="5">
        <f t="shared" si="17"/>
        <v>248432.87982788752</v>
      </c>
      <c r="E370">
        <v>190000</v>
      </c>
      <c r="F370" s="4">
        <f t="shared" si="16"/>
        <v>0.30754147277835536</v>
      </c>
    </row>
    <row r="371" spans="1:6" x14ac:dyDescent="0.5">
      <c r="A371" s="3">
        <v>43987</v>
      </c>
      <c r="B371" s="2">
        <v>198526.53006737985</v>
      </c>
      <c r="C371" s="6">
        <f>VLOOKUP(A371,fund_value_simple[],8,FALSE)</f>
        <v>1.2582156834952847</v>
      </c>
      <c r="D371" s="5">
        <f t="shared" si="17"/>
        <v>249789.19372067551</v>
      </c>
      <c r="E371">
        <v>190000</v>
      </c>
      <c r="F371" s="4">
        <f t="shared" ref="F371:F389" si="18">(D371-E371)/E371</f>
        <v>0.31467996695092376</v>
      </c>
    </row>
    <row r="372" spans="1:6" x14ac:dyDescent="0.5">
      <c r="A372" s="3">
        <v>43990</v>
      </c>
      <c r="B372" s="2">
        <v>198526.53006737985</v>
      </c>
      <c r="C372" s="6">
        <f>VLOOKUP(A372,fund_value_simple[],8,FALSE)</f>
        <v>1.2490339102468897</v>
      </c>
      <c r="D372" s="5">
        <f t="shared" si="17"/>
        <v>247966.36813780616</v>
      </c>
      <c r="E372">
        <v>190000</v>
      </c>
      <c r="F372" s="4">
        <f t="shared" si="18"/>
        <v>0.30508614809371665</v>
      </c>
    </row>
    <row r="373" spans="1:6" x14ac:dyDescent="0.5">
      <c r="A373" s="3">
        <v>43991</v>
      </c>
      <c r="B373" s="2">
        <v>198526.53006737985</v>
      </c>
      <c r="C373" s="6">
        <f>VLOOKUP(A373,fund_value_simple[],8,FALSE)</f>
        <v>1.2623721895931383</v>
      </c>
      <c r="D373" s="5">
        <f t="shared" si="17"/>
        <v>250614.37045348631</v>
      </c>
      <c r="E373">
        <v>190000</v>
      </c>
      <c r="F373" s="4">
        <f t="shared" si="18"/>
        <v>0.31902300238677006</v>
      </c>
    </row>
    <row r="374" spans="1:6" x14ac:dyDescent="0.5">
      <c r="A374" s="3">
        <v>43992</v>
      </c>
      <c r="B374" s="2">
        <v>198526.53006737985</v>
      </c>
      <c r="C374" s="6">
        <f>VLOOKUP(A374,fund_value_simple[],8,FALSE)</f>
        <v>1.2754490517276387</v>
      </c>
      <c r="D374" s="5">
        <f t="shared" si="17"/>
        <v>253210.47451721819</v>
      </c>
      <c r="E374">
        <v>190000</v>
      </c>
      <c r="F374" s="4">
        <f t="shared" si="18"/>
        <v>0.33268670798535888</v>
      </c>
    </row>
    <row r="375" spans="1:6" x14ac:dyDescent="0.5">
      <c r="A375" s="3">
        <v>43993</v>
      </c>
      <c r="B375" s="2">
        <v>198526.53006737985</v>
      </c>
      <c r="C375" s="6">
        <f>VLOOKUP(A375,fund_value_simple[],8,FALSE)</f>
        <v>1.2795072492748412</v>
      </c>
      <c r="D375" s="5">
        <f t="shared" si="17"/>
        <v>254016.13439459223</v>
      </c>
      <c r="E375">
        <v>190000</v>
      </c>
      <c r="F375" s="4">
        <f t="shared" si="18"/>
        <v>0.33692702312943279</v>
      </c>
    </row>
    <row r="376" spans="1:6" x14ac:dyDescent="0.5">
      <c r="A376" s="3">
        <v>43994</v>
      </c>
      <c r="B376" s="2">
        <v>198526.53006737985</v>
      </c>
      <c r="C376" s="6">
        <f>VLOOKUP(A376,fund_value_simple[],8,FALSE)</f>
        <v>1.2913851945653263</v>
      </c>
      <c r="D376" s="5">
        <f t="shared" si="17"/>
        <v>256374.22165744242</v>
      </c>
      <c r="E376">
        <v>190000</v>
      </c>
      <c r="F376" s="4">
        <f t="shared" si="18"/>
        <v>0.34933800872338117</v>
      </c>
    </row>
    <row r="377" spans="1:6" x14ac:dyDescent="0.5">
      <c r="A377" s="3">
        <v>43997</v>
      </c>
      <c r="B377" s="2">
        <v>198526.53006737985</v>
      </c>
      <c r="C377" s="6">
        <f>VLOOKUP(A377,fund_value_simple[],8,FALSE)</f>
        <v>1.2869354503513224</v>
      </c>
      <c r="D377" s="5">
        <f t="shared" si="17"/>
        <v>255490.82937894884</v>
      </c>
      <c r="E377">
        <v>190000</v>
      </c>
      <c r="F377" s="4">
        <f t="shared" si="18"/>
        <v>0.34468857567867811</v>
      </c>
    </row>
    <row r="378" spans="1:6" x14ac:dyDescent="0.5">
      <c r="A378" s="3">
        <v>43998</v>
      </c>
      <c r="B378" s="2">
        <v>198526.53006737985</v>
      </c>
      <c r="C378" s="6">
        <f>VLOOKUP(A378,fund_value_simple[],8,FALSE)</f>
        <v>1.312562508981026</v>
      </c>
      <c r="D378" s="5">
        <f t="shared" si="17"/>
        <v>260578.4804045372</v>
      </c>
      <c r="E378">
        <v>190000</v>
      </c>
      <c r="F378" s="4">
        <f t="shared" si="18"/>
        <v>0.37146568633966948</v>
      </c>
    </row>
    <row r="379" spans="1:6" x14ac:dyDescent="0.5">
      <c r="A379" s="3">
        <v>43999</v>
      </c>
      <c r="B379" s="2">
        <v>198526.53006737985</v>
      </c>
      <c r="C379" s="6">
        <f>VLOOKUP(A379,fund_value_simple[],8,FALSE)</f>
        <v>1.3097448938133034</v>
      </c>
      <c r="D379" s="5">
        <f t="shared" si="17"/>
        <v>260019.10904222401</v>
      </c>
      <c r="E379">
        <v>190000</v>
      </c>
      <c r="F379" s="4">
        <f t="shared" si="18"/>
        <v>0.36852162653802112</v>
      </c>
    </row>
    <row r="380" spans="1:6" x14ac:dyDescent="0.5">
      <c r="A380" s="3">
        <v>44000</v>
      </c>
      <c r="B380" s="2">
        <v>198526.53006737985</v>
      </c>
      <c r="C380" s="6">
        <f>VLOOKUP(A380,fund_value_simple[],8,FALSE)</f>
        <v>1.3181977393164712</v>
      </c>
      <c r="D380" s="5">
        <f t="shared" si="17"/>
        <v>261697.22312916355</v>
      </c>
      <c r="E380">
        <v>190000</v>
      </c>
      <c r="F380" s="4">
        <f t="shared" si="18"/>
        <v>0.37735380594296608</v>
      </c>
    </row>
    <row r="381" spans="1:6" x14ac:dyDescent="0.5">
      <c r="A381" s="3">
        <v>44001</v>
      </c>
      <c r="B381" s="2">
        <v>198526.53006737985</v>
      </c>
      <c r="C381" s="6">
        <f>VLOOKUP(A381,fund_value_simple[],8,FALSE)</f>
        <v>1.3511911337669433</v>
      </c>
      <c r="D381" s="5">
        <f t="shared" si="17"/>
        <v>268247.28724456014</v>
      </c>
      <c r="E381">
        <v>190000</v>
      </c>
      <c r="F381" s="4">
        <f t="shared" si="18"/>
        <v>0.41182782760294812</v>
      </c>
    </row>
    <row r="382" spans="1:6" x14ac:dyDescent="0.5">
      <c r="A382" s="3">
        <v>44004</v>
      </c>
      <c r="B382" s="2">
        <v>198526.53006737985</v>
      </c>
      <c r="C382" s="6">
        <f>VLOOKUP(A382,fund_value_simple[],8,FALSE)</f>
        <v>1.3691305059999022</v>
      </c>
      <c r="D382" s="5">
        <f t="shared" ref="D382:D389" si="19">B382*C382</f>
        <v>271808.72856555658</v>
      </c>
      <c r="E382">
        <v>190000</v>
      </c>
      <c r="F382" s="4">
        <f t="shared" si="18"/>
        <v>0.43057225560819251</v>
      </c>
    </row>
    <row r="383" spans="1:6" x14ac:dyDescent="0.5">
      <c r="A383" s="3">
        <v>44005</v>
      </c>
      <c r="B383" s="2">
        <v>198526.53006737985</v>
      </c>
      <c r="C383" s="6">
        <f>VLOOKUP(A383,fund_value_simple[],8,FALSE)</f>
        <v>1.3947546408173752</v>
      </c>
      <c r="D383" s="5">
        <f t="shared" si="19"/>
        <v>276895.79913684825</v>
      </c>
      <c r="E383">
        <v>190000</v>
      </c>
      <c r="F383" s="4">
        <f t="shared" si="18"/>
        <v>0.45734631124656971</v>
      </c>
    </row>
    <row r="384" spans="1:6" x14ac:dyDescent="0.5">
      <c r="A384" s="3">
        <v>44006</v>
      </c>
      <c r="B384" s="2">
        <v>198526.53006737985</v>
      </c>
      <c r="C384" s="6">
        <f>VLOOKUP(A384,fund_value_simple[],8,FALSE)</f>
        <v>1.3912209907887547</v>
      </c>
      <c r="D384" s="5">
        <f t="shared" si="19"/>
        <v>276194.27585819369</v>
      </c>
      <c r="E384">
        <v>190000</v>
      </c>
      <c r="F384" s="4">
        <f t="shared" si="18"/>
        <v>0.45365408346417735</v>
      </c>
    </row>
    <row r="385" spans="1:6" x14ac:dyDescent="0.5">
      <c r="A385" s="3">
        <v>44011</v>
      </c>
      <c r="B385" s="2">
        <v>234466.18331517366</v>
      </c>
      <c r="C385" s="6">
        <f>VLOOKUP(A385,fund_value_simple[],8,FALSE)</f>
        <v>1.3822179191255946</v>
      </c>
      <c r="D385" s="5">
        <f t="shared" si="19"/>
        <v>324083.36000721954</v>
      </c>
      <c r="E385">
        <v>240000</v>
      </c>
      <c r="F385" s="4">
        <f t="shared" si="18"/>
        <v>0.35034733336341473</v>
      </c>
    </row>
    <row r="386" spans="1:6" x14ac:dyDescent="0.5">
      <c r="A386" s="3">
        <v>44012</v>
      </c>
      <c r="B386" s="2">
        <v>234466.18331517366</v>
      </c>
      <c r="C386" s="6">
        <f>VLOOKUP(A386,fund_value_simple[],8,FALSE)</f>
        <v>1.4198870573336615</v>
      </c>
      <c r="D386" s="5">
        <f t="shared" si="19"/>
        <v>332915.49907163676</v>
      </c>
      <c r="E386">
        <v>240000</v>
      </c>
      <c r="F386" s="4">
        <f t="shared" si="18"/>
        <v>0.38714791279848648</v>
      </c>
    </row>
    <row r="387" spans="1:6" x14ac:dyDescent="0.5">
      <c r="A387" s="3">
        <v>44013</v>
      </c>
      <c r="B387" s="2">
        <v>234466.18331517366</v>
      </c>
      <c r="C387" s="6">
        <f>VLOOKUP(A387,fund_value_simple[],8,FALSE)</f>
        <v>1.4045472967671047</v>
      </c>
      <c r="D387" s="5">
        <f t="shared" si="19"/>
        <v>329318.84395862761</v>
      </c>
      <c r="E387">
        <v>240000</v>
      </c>
      <c r="F387" s="4">
        <f t="shared" si="18"/>
        <v>0.37216184982761502</v>
      </c>
    </row>
    <row r="388" spans="1:6" x14ac:dyDescent="0.5">
      <c r="A388" s="3">
        <v>44014</v>
      </c>
      <c r="B388" s="2">
        <v>234466.18331517366</v>
      </c>
      <c r="C388" s="6">
        <f>VLOOKUP(A388,fund_value_simple[],8,FALSE)</f>
        <v>1.4131176275002175</v>
      </c>
      <c r="D388" s="5">
        <f t="shared" si="19"/>
        <v>331328.2966953693</v>
      </c>
      <c r="E388">
        <v>240000</v>
      </c>
      <c r="F388" s="4">
        <f t="shared" si="18"/>
        <v>0.38053456956403875</v>
      </c>
    </row>
    <row r="389" spans="1:6" x14ac:dyDescent="0.5">
      <c r="A389" s="3">
        <v>44015</v>
      </c>
      <c r="B389" s="2">
        <v>234466.18331517366</v>
      </c>
      <c r="C389" s="6">
        <f>VLOOKUP(A389,fund_value_simple[],8,FALSE)</f>
        <v>1.4334057255529946</v>
      </c>
      <c r="D389" s="5">
        <f t="shared" si="19"/>
        <v>336085.16961252794</v>
      </c>
      <c r="E389">
        <v>240000</v>
      </c>
      <c r="F389" s="4">
        <f t="shared" si="18"/>
        <v>0.40035487338553311</v>
      </c>
    </row>
    <row r="390" spans="1:6" x14ac:dyDescent="0.5">
      <c r="A390" s="3">
        <v>44018</v>
      </c>
      <c r="B390" s="2">
        <v>234466.18331517366</v>
      </c>
      <c r="C390" s="6">
        <f>VLOOKUP(A390,fund_value_simple[],8,FALSE)</f>
        <v>1.4800802493706995</v>
      </c>
      <c r="D390" s="5">
        <f t="shared" ref="D390:D395" si="20">B390*C390</f>
        <v>347028.7670701184</v>
      </c>
      <c r="E390">
        <v>240000</v>
      </c>
      <c r="F390" s="4">
        <f t="shared" ref="F390:F399" si="21">(D390-E390)/E390</f>
        <v>0.44595319612549333</v>
      </c>
    </row>
    <row r="391" spans="1:6" x14ac:dyDescent="0.5">
      <c r="A391" s="3">
        <v>44019</v>
      </c>
      <c r="B391" s="2">
        <v>234466.18331517366</v>
      </c>
      <c r="C391" s="6">
        <f>VLOOKUP(A391,fund_value_simple[],8,FALSE)</f>
        <v>1.5147757769573238</v>
      </c>
      <c r="D391" s="5">
        <f t="shared" si="20"/>
        <v>355163.6950014605</v>
      </c>
      <c r="E391">
        <v>240000</v>
      </c>
      <c r="F391" s="4">
        <f t="shared" si="21"/>
        <v>0.47984872917275206</v>
      </c>
    </row>
    <row r="392" spans="1:6" x14ac:dyDescent="0.5">
      <c r="A392" s="3">
        <v>44020</v>
      </c>
      <c r="B392" s="2">
        <v>234466.18331517366</v>
      </c>
      <c r="C392" s="6">
        <f>VLOOKUP(A392,fund_value_simple[],8,FALSE)</f>
        <v>1.5745184164407169</v>
      </c>
      <c r="D392" s="5">
        <f t="shared" si="20"/>
        <v>369171.32366230607</v>
      </c>
      <c r="E392">
        <v>240000</v>
      </c>
      <c r="F392" s="4">
        <f t="shared" si="21"/>
        <v>0.53821384859294197</v>
      </c>
    </row>
    <row r="393" spans="1:6" x14ac:dyDescent="0.5">
      <c r="A393" s="3">
        <v>44021</v>
      </c>
      <c r="B393" s="2">
        <v>234466.18331517366</v>
      </c>
      <c r="C393" s="6">
        <f>VLOOKUP(A393,fund_value_simple[],8,FALSE)</f>
        <v>1.6133379125449046</v>
      </c>
      <c r="D393" s="5">
        <f t="shared" si="20"/>
        <v>378273.18275207322</v>
      </c>
      <c r="E393">
        <v>240000</v>
      </c>
      <c r="F393" s="4">
        <f t="shared" si="21"/>
        <v>0.57613826146697178</v>
      </c>
    </row>
    <row r="394" spans="1:6" x14ac:dyDescent="0.5">
      <c r="A394" s="3">
        <v>44022</v>
      </c>
      <c r="B394" s="2">
        <v>234466.18331517366</v>
      </c>
      <c r="C394" s="6">
        <f>VLOOKUP(A394,fund_value_simple[],8,FALSE)</f>
        <v>1.6226035473978175</v>
      </c>
      <c r="D394" s="5">
        <f t="shared" si="20"/>
        <v>380445.66079202777</v>
      </c>
      <c r="E394">
        <v>240000</v>
      </c>
      <c r="F394" s="4">
        <f t="shared" si="21"/>
        <v>0.58519025330011576</v>
      </c>
    </row>
    <row r="395" spans="1:6" x14ac:dyDescent="0.5">
      <c r="A395" s="3">
        <v>44025</v>
      </c>
      <c r="B395" s="2">
        <v>234466.18331517366</v>
      </c>
      <c r="C395" s="6">
        <f>VLOOKUP(A395,fund_value_simple[],8,FALSE)</f>
        <v>1.6997234314325376</v>
      </c>
      <c r="D395" s="5">
        <f t="shared" si="20"/>
        <v>398527.66565935739</v>
      </c>
      <c r="E395">
        <v>240000</v>
      </c>
      <c r="F395" s="4">
        <f t="shared" si="21"/>
        <v>0.66053194024732242</v>
      </c>
    </row>
    <row r="396" spans="1:6" x14ac:dyDescent="0.5">
      <c r="A396" s="3">
        <v>44026</v>
      </c>
      <c r="B396" s="2">
        <v>234466.18331517366</v>
      </c>
      <c r="C396" s="6">
        <f>VLOOKUP(A396,fund_value_simple[],8,FALSE)</f>
        <v>1.6751943240386242</v>
      </c>
      <c r="D396" s="5">
        <f t="shared" ref="D396:D459" si="22">B396*C396</f>
        <v>392776.41946857848</v>
      </c>
      <c r="E396">
        <v>240000</v>
      </c>
      <c r="F396" s="4">
        <f t="shared" si="21"/>
        <v>0.6365684144524103</v>
      </c>
    </row>
    <row r="397" spans="1:6" x14ac:dyDescent="0.5">
      <c r="A397" s="3">
        <v>44027</v>
      </c>
      <c r="B397" s="2">
        <v>234466.18331517366</v>
      </c>
      <c r="C397" s="6">
        <f>VLOOKUP(A397,fund_value_simple[],8,FALSE)</f>
        <v>1.6405382274495794</v>
      </c>
      <c r="D397" s="5">
        <f t="shared" si="22"/>
        <v>384650.73677274317</v>
      </c>
      <c r="E397">
        <v>240000</v>
      </c>
      <c r="F397" s="4">
        <f t="shared" si="21"/>
        <v>0.60271140321976324</v>
      </c>
    </row>
    <row r="398" spans="1:6" x14ac:dyDescent="0.5">
      <c r="A398" s="3">
        <v>44028</v>
      </c>
      <c r="B398" s="2">
        <v>234466.18331517366</v>
      </c>
      <c r="C398" s="6">
        <f>VLOOKUP(A398,fund_value_simple[],8,FALSE)</f>
        <v>1.5714316110455036</v>
      </c>
      <c r="D398" s="5">
        <f t="shared" si="22"/>
        <v>368447.5721826537</v>
      </c>
      <c r="E398">
        <v>240000</v>
      </c>
      <c r="F398" s="4">
        <f t="shared" si="21"/>
        <v>0.53519821742772378</v>
      </c>
    </row>
    <row r="399" spans="1:6" x14ac:dyDescent="0.5">
      <c r="A399" s="3">
        <v>44029</v>
      </c>
      <c r="B399" s="2">
        <v>234466.18331517366</v>
      </c>
      <c r="C399" s="6">
        <f>VLOOKUP(A399,fund_value_simple[],8,FALSE)</f>
        <v>1.5714316110455036</v>
      </c>
      <c r="D399" s="5">
        <f t="shared" si="22"/>
        <v>368447.5721826537</v>
      </c>
      <c r="E399">
        <v>240000</v>
      </c>
      <c r="F399" s="4">
        <f t="shared" si="21"/>
        <v>0.53519821742772378</v>
      </c>
    </row>
    <row r="400" spans="1:6" x14ac:dyDescent="0.5">
      <c r="A400" s="3">
        <v>44029</v>
      </c>
      <c r="B400" s="2">
        <v>234466.18331517366</v>
      </c>
      <c r="C400" s="6">
        <f>VLOOKUP(A400,fund_value_simple[],8,FALSE)</f>
        <v>1.5714316110455036</v>
      </c>
      <c r="D400" s="5">
        <f t="shared" si="22"/>
        <v>368447.5721826537</v>
      </c>
      <c r="E400">
        <v>240000</v>
      </c>
      <c r="F400" s="4">
        <f t="shared" ref="F400:F463" si="23">(D400-E400)/E400</f>
        <v>0.53519821742772378</v>
      </c>
    </row>
    <row r="401" spans="1:6" x14ac:dyDescent="0.5">
      <c r="A401" s="3">
        <v>44032</v>
      </c>
      <c r="B401" s="2">
        <v>234466.18331517366</v>
      </c>
      <c r="C401" s="6">
        <f>VLOOKUP(A401,fund_value_simple[],8,FALSE)</f>
        <v>1.5714316110454973</v>
      </c>
      <c r="D401" s="5">
        <f t="shared" si="22"/>
        <v>368447.57218265225</v>
      </c>
      <c r="E401">
        <v>240000</v>
      </c>
      <c r="F401" s="4">
        <f t="shared" si="23"/>
        <v>0.53519821742771767</v>
      </c>
    </row>
    <row r="402" spans="1:6" x14ac:dyDescent="0.5">
      <c r="A402" s="3">
        <v>44033</v>
      </c>
      <c r="B402" s="2">
        <v>234466.18331517366</v>
      </c>
      <c r="C402" s="6">
        <f>VLOOKUP(A402,fund_value_simple[],8,FALSE)</f>
        <v>1.5714316110454973</v>
      </c>
      <c r="D402" s="5">
        <f t="shared" si="22"/>
        <v>368447.57218265225</v>
      </c>
      <c r="E402">
        <v>240000</v>
      </c>
      <c r="F402" s="4">
        <f t="shared" si="23"/>
        <v>0.53519821742771767</v>
      </c>
    </row>
    <row r="403" spans="1:6" x14ac:dyDescent="0.5">
      <c r="A403" s="3">
        <v>44034</v>
      </c>
      <c r="B403" s="2">
        <v>234466.18331517366</v>
      </c>
      <c r="C403" s="6">
        <f>VLOOKUP(A403,fund_value_simple[],8,FALSE)</f>
        <v>1.5714316110454973</v>
      </c>
      <c r="D403" s="5">
        <f t="shared" si="22"/>
        <v>368447.57218265225</v>
      </c>
      <c r="E403">
        <v>240000</v>
      </c>
      <c r="F403" s="4">
        <f t="shared" si="23"/>
        <v>0.53519821742771767</v>
      </c>
    </row>
    <row r="404" spans="1:6" x14ac:dyDescent="0.5">
      <c r="A404" s="3">
        <v>44035</v>
      </c>
      <c r="B404" s="2">
        <v>234466.18331517366</v>
      </c>
      <c r="C404" s="6">
        <f>VLOOKUP(A404,fund_value_simple[],8,FALSE)</f>
        <v>1.5714316110454973</v>
      </c>
      <c r="D404" s="5">
        <f t="shared" si="22"/>
        <v>368447.57218265225</v>
      </c>
      <c r="E404">
        <v>240000</v>
      </c>
      <c r="F404" s="4">
        <f t="shared" si="23"/>
        <v>0.53519821742771767</v>
      </c>
    </row>
    <row r="405" spans="1:6" x14ac:dyDescent="0.5">
      <c r="A405" s="3">
        <v>44036</v>
      </c>
      <c r="B405" s="2">
        <v>234466.18331517366</v>
      </c>
      <c r="C405" s="6">
        <f>VLOOKUP(A405,fund_value_simple[],8,FALSE)</f>
        <v>1.5714316110454973</v>
      </c>
      <c r="D405" s="5">
        <f t="shared" si="22"/>
        <v>368447.57218265225</v>
      </c>
      <c r="E405">
        <v>240000</v>
      </c>
      <c r="F405" s="4">
        <f t="shared" si="23"/>
        <v>0.53519821742771767</v>
      </c>
    </row>
    <row r="406" spans="1:6" x14ac:dyDescent="0.5">
      <c r="A406" s="3">
        <v>44039</v>
      </c>
      <c r="B406" s="2">
        <v>234466.18331517366</v>
      </c>
      <c r="C406" s="6">
        <f>VLOOKUP(A406,fund_value_simple[],8,FALSE)</f>
        <v>1.5714316110454973</v>
      </c>
      <c r="D406" s="5">
        <f t="shared" si="22"/>
        <v>368447.57218265225</v>
      </c>
      <c r="E406">
        <v>240000</v>
      </c>
      <c r="F406" s="4">
        <f t="shared" si="23"/>
        <v>0.53519821742771767</v>
      </c>
    </row>
    <row r="407" spans="1:6" x14ac:dyDescent="0.5">
      <c r="A407" s="3">
        <v>44040</v>
      </c>
      <c r="B407" s="2">
        <v>234466.18331517366</v>
      </c>
      <c r="C407" s="6">
        <f>VLOOKUP(A407,fund_value_simple[],8,FALSE)</f>
        <v>1.5714316110454973</v>
      </c>
      <c r="D407" s="5">
        <f t="shared" si="22"/>
        <v>368447.57218265225</v>
      </c>
      <c r="E407">
        <v>240000</v>
      </c>
      <c r="F407" s="4">
        <f t="shared" si="23"/>
        <v>0.53519821742771767</v>
      </c>
    </row>
    <row r="408" spans="1:6" x14ac:dyDescent="0.5">
      <c r="A408" s="3">
        <v>44041</v>
      </c>
      <c r="B408" s="2">
        <v>234466.18331517366</v>
      </c>
      <c r="C408" s="6">
        <f>VLOOKUP(A408,fund_value_simple[],8,FALSE)</f>
        <v>1.5714316110454973</v>
      </c>
      <c r="D408" s="5">
        <f t="shared" si="22"/>
        <v>368447.57218265225</v>
      </c>
      <c r="E408">
        <v>240000</v>
      </c>
      <c r="F408" s="4">
        <f t="shared" si="23"/>
        <v>0.53519821742771767</v>
      </c>
    </row>
    <row r="409" spans="1:6" x14ac:dyDescent="0.5">
      <c r="A409" s="3">
        <v>44042</v>
      </c>
      <c r="B409" s="2">
        <v>234466.18331517366</v>
      </c>
      <c r="C409" s="6">
        <f>VLOOKUP(A409,fund_value_simple[],8,FALSE)</f>
        <v>1.5714316110454973</v>
      </c>
      <c r="D409" s="5">
        <f t="shared" si="22"/>
        <v>368447.57218265225</v>
      </c>
      <c r="E409">
        <v>240000</v>
      </c>
      <c r="F409" s="4">
        <f t="shared" si="23"/>
        <v>0.53519821742771767</v>
      </c>
    </row>
    <row r="410" spans="1:6" x14ac:dyDescent="0.5">
      <c r="A410" s="3">
        <v>44043</v>
      </c>
      <c r="B410" s="2">
        <v>234466.18331517366</v>
      </c>
      <c r="C410" s="6">
        <f>VLOOKUP(A410,fund_value_simple[],8,FALSE)</f>
        <v>1.5714316110454973</v>
      </c>
      <c r="D410" s="5">
        <f t="shared" si="22"/>
        <v>368447.57218265225</v>
      </c>
      <c r="E410">
        <v>240000</v>
      </c>
      <c r="F410" s="4">
        <f t="shared" si="23"/>
        <v>0.53519821742771767</v>
      </c>
    </row>
    <row r="411" spans="1:6" x14ac:dyDescent="0.5">
      <c r="A411" s="3">
        <v>44046</v>
      </c>
      <c r="B411" s="2">
        <v>234466.18331517366</v>
      </c>
      <c r="C411" s="6">
        <f>VLOOKUP(A411,fund_value_simple[],8,FALSE)</f>
        <v>1.582114351952882</v>
      </c>
      <c r="D411" s="5">
        <f t="shared" si="22"/>
        <v>370952.31367055164</v>
      </c>
      <c r="E411">
        <v>240000</v>
      </c>
      <c r="F411" s="4">
        <f t="shared" si="23"/>
        <v>0.54563464029396513</v>
      </c>
    </row>
    <row r="412" spans="1:6" x14ac:dyDescent="0.5">
      <c r="A412" s="3">
        <v>44047</v>
      </c>
      <c r="B412" s="2">
        <v>234466.18331517366</v>
      </c>
      <c r="C412" s="6">
        <f>VLOOKUP(A412,fund_value_simple[],8,FALSE)</f>
        <v>1.5613431703002218</v>
      </c>
      <c r="D412" s="5">
        <f t="shared" si="22"/>
        <v>366082.17398550623</v>
      </c>
      <c r="E412">
        <v>240000</v>
      </c>
      <c r="F412" s="4">
        <f t="shared" si="23"/>
        <v>0.52534239160627594</v>
      </c>
    </row>
    <row r="413" spans="1:6" x14ac:dyDescent="0.5">
      <c r="A413" s="3">
        <v>44048</v>
      </c>
      <c r="B413" s="2">
        <v>234466.18331517366</v>
      </c>
      <c r="C413" s="6">
        <f>VLOOKUP(A413,fund_value_simple[],8,FALSE)</f>
        <v>1.5751906247353287</v>
      </c>
      <c r="D413" s="5">
        <f t="shared" si="22"/>
        <v>369328.93377553648</v>
      </c>
      <c r="E413">
        <v>240000</v>
      </c>
      <c r="F413" s="4">
        <f t="shared" si="23"/>
        <v>0.53887055739806866</v>
      </c>
    </row>
    <row r="414" spans="1:6" x14ac:dyDescent="0.5">
      <c r="A414" s="3">
        <v>44049</v>
      </c>
      <c r="B414" s="2">
        <v>234466.18331517366</v>
      </c>
      <c r="C414" s="6">
        <f>VLOOKUP(A414,fund_value_simple[],8,FALSE)</f>
        <v>1.543341479534583</v>
      </c>
      <c r="D414" s="5">
        <f t="shared" si="22"/>
        <v>361861.38625846687</v>
      </c>
      <c r="E414">
        <v>240000</v>
      </c>
      <c r="F414" s="4">
        <f t="shared" si="23"/>
        <v>0.50775577607694533</v>
      </c>
    </row>
    <row r="415" spans="1:6" x14ac:dyDescent="0.5">
      <c r="A415" s="3">
        <v>44050</v>
      </c>
      <c r="B415" s="2">
        <v>234466.18331517366</v>
      </c>
      <c r="C415" s="6">
        <f>VLOOKUP(A415,fund_value_simple[],8,FALSE)</f>
        <v>1.5056715161342322</v>
      </c>
      <c r="D415" s="5">
        <f t="shared" si="22"/>
        <v>353029.05371436436</v>
      </c>
      <c r="E415">
        <v>240000</v>
      </c>
      <c r="F415" s="4">
        <f t="shared" si="23"/>
        <v>0.47095439047651816</v>
      </c>
    </row>
    <row r="416" spans="1:6" x14ac:dyDescent="0.5">
      <c r="A416" s="3">
        <v>44053</v>
      </c>
      <c r="B416" s="2">
        <v>234466.18331517366</v>
      </c>
      <c r="C416" s="6">
        <f>VLOOKUP(A416,fund_value_simple[],8,FALSE)</f>
        <v>1.4985034220737063</v>
      </c>
      <c r="D416" s="5">
        <f t="shared" si="22"/>
        <v>351348.37805834867</v>
      </c>
      <c r="E416">
        <v>240000</v>
      </c>
      <c r="F416" s="4">
        <f t="shared" si="23"/>
        <v>0.46395157524311942</v>
      </c>
    </row>
    <row r="417" spans="1:6" x14ac:dyDescent="0.5">
      <c r="A417" s="3">
        <v>44054</v>
      </c>
      <c r="B417" s="2">
        <v>234466.18331517366</v>
      </c>
      <c r="C417" s="6">
        <f>VLOOKUP(A417,fund_value_simple[],8,FALSE)</f>
        <v>1.4955935853536728</v>
      </c>
      <c r="D417" s="5">
        <f t="shared" si="22"/>
        <v>350666.11974853207</v>
      </c>
      <c r="E417">
        <v>240000</v>
      </c>
      <c r="F417" s="4">
        <f t="shared" si="23"/>
        <v>0.46110883228555033</v>
      </c>
    </row>
    <row r="418" spans="1:6" x14ac:dyDescent="0.5">
      <c r="A418" s="3">
        <v>44055</v>
      </c>
      <c r="B418" s="2">
        <v>234466.18331517366</v>
      </c>
      <c r="C418" s="6">
        <f>VLOOKUP(A418,fund_value_simple[],8,FALSE)</f>
        <v>1.4909002369620126</v>
      </c>
      <c r="D418" s="5">
        <f t="shared" si="22"/>
        <v>349565.68826417107</v>
      </c>
      <c r="E418">
        <v>240000</v>
      </c>
      <c r="F418" s="4">
        <f t="shared" si="23"/>
        <v>0.45652370110071278</v>
      </c>
    </row>
    <row r="419" spans="1:6" x14ac:dyDescent="0.5">
      <c r="A419" s="3">
        <v>44056</v>
      </c>
      <c r="B419" s="2">
        <v>234466.18331517366</v>
      </c>
      <c r="C419" s="6">
        <f>VLOOKUP(A419,fund_value_simple[],8,FALSE)</f>
        <v>1.4909002369620126</v>
      </c>
      <c r="D419" s="5">
        <f t="shared" si="22"/>
        <v>349565.68826417107</v>
      </c>
      <c r="E419">
        <v>240000</v>
      </c>
      <c r="F419" s="4">
        <f t="shared" si="23"/>
        <v>0.45652370110071278</v>
      </c>
    </row>
    <row r="420" spans="1:6" x14ac:dyDescent="0.5">
      <c r="A420" s="3">
        <v>44057</v>
      </c>
      <c r="B420" s="2">
        <v>234466.18331517366</v>
      </c>
      <c r="C420" s="6">
        <f>VLOOKUP(A420,fund_value_simple[],8,FALSE)</f>
        <v>1.4909002369620126</v>
      </c>
      <c r="D420" s="5">
        <f t="shared" si="22"/>
        <v>349565.68826417107</v>
      </c>
      <c r="E420">
        <v>240000</v>
      </c>
      <c r="F420" s="4">
        <f t="shared" si="23"/>
        <v>0.45652370110071278</v>
      </c>
    </row>
    <row r="421" spans="1:6" x14ac:dyDescent="0.5">
      <c r="A421" s="3">
        <v>44060</v>
      </c>
      <c r="B421" s="2">
        <v>234466.18331517366</v>
      </c>
      <c r="C421" s="6">
        <f>VLOOKUP(A421,fund_value_simple[],8,FALSE)</f>
        <v>1.4909002369620126</v>
      </c>
      <c r="D421" s="5">
        <f t="shared" si="22"/>
        <v>349565.68826417107</v>
      </c>
      <c r="E421">
        <v>240000</v>
      </c>
      <c r="F421" s="4">
        <f t="shared" si="23"/>
        <v>0.45652370110071278</v>
      </c>
    </row>
    <row r="422" spans="1:6" x14ac:dyDescent="0.5">
      <c r="A422" s="3">
        <v>44061</v>
      </c>
      <c r="B422" s="2">
        <v>234466.18331517366</v>
      </c>
      <c r="C422" s="6">
        <f>VLOOKUP(A422,fund_value_simple[],8,FALSE)</f>
        <v>1.4909002369620126</v>
      </c>
      <c r="D422" s="5">
        <f t="shared" si="22"/>
        <v>349565.68826417107</v>
      </c>
      <c r="E422">
        <v>240000</v>
      </c>
      <c r="F422" s="4">
        <f t="shared" si="23"/>
        <v>0.45652370110071278</v>
      </c>
    </row>
    <row r="423" spans="1:6" x14ac:dyDescent="0.5">
      <c r="A423" s="3">
        <v>44062</v>
      </c>
      <c r="B423" s="2">
        <v>234466.18331517366</v>
      </c>
      <c r="C423" s="6">
        <f>VLOOKUP(A423,fund_value_simple[],8,FALSE)</f>
        <v>1.4909002369620126</v>
      </c>
      <c r="D423" s="5">
        <f t="shared" si="22"/>
        <v>349565.68826417107</v>
      </c>
      <c r="E423">
        <v>240000</v>
      </c>
      <c r="F423" s="4">
        <f t="shared" si="23"/>
        <v>0.45652370110071278</v>
      </c>
    </row>
    <row r="424" spans="1:6" x14ac:dyDescent="0.5">
      <c r="A424" s="3">
        <v>44063</v>
      </c>
      <c r="B424" s="2">
        <v>234466.18331517366</v>
      </c>
      <c r="C424" s="6">
        <f>VLOOKUP(A424,fund_value_simple[],8,FALSE)</f>
        <v>1.4909002369620126</v>
      </c>
      <c r="D424" s="5">
        <f t="shared" si="22"/>
        <v>349565.68826417107</v>
      </c>
      <c r="E424">
        <v>240000</v>
      </c>
      <c r="F424" s="4">
        <f t="shared" si="23"/>
        <v>0.45652370110071278</v>
      </c>
    </row>
    <row r="425" spans="1:6" x14ac:dyDescent="0.5">
      <c r="A425" s="3">
        <v>44064</v>
      </c>
      <c r="B425" s="2">
        <v>234466.18331517366</v>
      </c>
      <c r="C425" s="6">
        <f>VLOOKUP(A425,fund_value_simple[],8,FALSE)</f>
        <v>1.4909002369620126</v>
      </c>
      <c r="D425" s="5">
        <f t="shared" si="22"/>
        <v>349565.68826417107</v>
      </c>
      <c r="E425">
        <v>240000</v>
      </c>
      <c r="F425" s="4">
        <f t="shared" si="23"/>
        <v>0.45652370110071278</v>
      </c>
    </row>
    <row r="426" spans="1:6" x14ac:dyDescent="0.5">
      <c r="A426" s="3">
        <v>44067</v>
      </c>
      <c r="B426" s="2">
        <v>234466.18331517366</v>
      </c>
      <c r="C426" s="6">
        <f>VLOOKUP(A426,fund_value_simple[],8,FALSE)</f>
        <v>1.4909002369620126</v>
      </c>
      <c r="D426" s="5">
        <f t="shared" si="22"/>
        <v>349565.68826417107</v>
      </c>
      <c r="E426">
        <v>240000</v>
      </c>
      <c r="F426" s="4">
        <f t="shared" si="23"/>
        <v>0.45652370110071278</v>
      </c>
    </row>
    <row r="427" spans="1:6" x14ac:dyDescent="0.5">
      <c r="A427" s="3">
        <v>44068</v>
      </c>
      <c r="B427" s="2">
        <v>234466.18331517366</v>
      </c>
      <c r="C427" s="6">
        <f>VLOOKUP(A427,fund_value_simple[],8,FALSE)</f>
        <v>1.4909002369620126</v>
      </c>
      <c r="D427" s="5">
        <f t="shared" si="22"/>
        <v>349565.68826417107</v>
      </c>
      <c r="E427">
        <v>240000</v>
      </c>
      <c r="F427" s="4">
        <f t="shared" si="23"/>
        <v>0.45652370110071278</v>
      </c>
    </row>
    <row r="428" spans="1:6" x14ac:dyDescent="0.5">
      <c r="A428" s="3">
        <v>44069</v>
      </c>
      <c r="B428" s="2">
        <v>234466.18331517366</v>
      </c>
      <c r="C428" s="6">
        <f>VLOOKUP(A428,fund_value_simple[],8,FALSE)</f>
        <v>1.4909002369620126</v>
      </c>
      <c r="D428" s="5">
        <f t="shared" si="22"/>
        <v>349565.68826417107</v>
      </c>
      <c r="E428">
        <v>240000</v>
      </c>
      <c r="F428" s="4">
        <f t="shared" si="23"/>
        <v>0.45652370110071278</v>
      </c>
    </row>
    <row r="429" spans="1:6" x14ac:dyDescent="0.5">
      <c r="A429" s="3">
        <v>44070</v>
      </c>
      <c r="B429" s="2">
        <v>234466.18331517366</v>
      </c>
      <c r="C429" s="6">
        <f>VLOOKUP(A429,fund_value_simple[],8,FALSE)</f>
        <v>1.4909002369620126</v>
      </c>
      <c r="D429" s="5">
        <f t="shared" si="22"/>
        <v>349565.68826417107</v>
      </c>
      <c r="E429">
        <v>240000</v>
      </c>
      <c r="F429" s="4">
        <f t="shared" si="23"/>
        <v>0.45652370110071278</v>
      </c>
    </row>
    <row r="430" spans="1:6" x14ac:dyDescent="0.5">
      <c r="A430" s="3">
        <v>44071</v>
      </c>
      <c r="B430" s="2">
        <v>234466.18331517366</v>
      </c>
      <c r="C430" s="6">
        <f>VLOOKUP(A430,fund_value_simple[],8,FALSE)</f>
        <v>1.4909002369620126</v>
      </c>
      <c r="D430" s="5">
        <f t="shared" si="22"/>
        <v>349565.68826417107</v>
      </c>
      <c r="E430">
        <v>240000</v>
      </c>
      <c r="F430" s="4">
        <f t="shared" si="23"/>
        <v>0.45652370110071278</v>
      </c>
    </row>
    <row r="431" spans="1:6" x14ac:dyDescent="0.5">
      <c r="A431" s="3">
        <v>44074</v>
      </c>
      <c r="B431" s="2">
        <v>234466.18331517366</v>
      </c>
      <c r="C431" s="6">
        <f>VLOOKUP(A431,fund_value_simple[],8,FALSE)</f>
        <v>1.4791008490622766</v>
      </c>
      <c r="D431" s="5">
        <f t="shared" si="22"/>
        <v>346799.13081786473</v>
      </c>
      <c r="E431">
        <v>240000</v>
      </c>
      <c r="F431" s="4">
        <f t="shared" si="23"/>
        <v>0.44499637840776973</v>
      </c>
    </row>
    <row r="432" spans="1:6" x14ac:dyDescent="0.5">
      <c r="A432" s="3">
        <v>44075</v>
      </c>
      <c r="B432" s="2">
        <v>234466.18331517366</v>
      </c>
      <c r="C432" s="6">
        <f>VLOOKUP(A432,fund_value_simple[],8,FALSE)</f>
        <v>1.4837565878143302</v>
      </c>
      <c r="D432" s="5">
        <f t="shared" si="22"/>
        <v>347890.7441135713</v>
      </c>
      <c r="E432">
        <v>240000</v>
      </c>
      <c r="F432" s="4">
        <f t="shared" si="23"/>
        <v>0.4495447671398804</v>
      </c>
    </row>
    <row r="433" spans="1:6" x14ac:dyDescent="0.5">
      <c r="A433" s="3">
        <v>44076</v>
      </c>
      <c r="B433" s="2">
        <v>234466.18331517366</v>
      </c>
      <c r="C433" s="6">
        <f>VLOOKUP(A433,fund_value_simple[],8,FALSE)</f>
        <v>1.4849205225023436</v>
      </c>
      <c r="D433" s="5">
        <f t="shared" si="22"/>
        <v>348163.64743749797</v>
      </c>
      <c r="E433">
        <v>240000</v>
      </c>
      <c r="F433" s="4">
        <f t="shared" si="23"/>
        <v>0.45068186432290824</v>
      </c>
    </row>
    <row r="434" spans="1:6" x14ac:dyDescent="0.5">
      <c r="A434" s="3">
        <v>44077</v>
      </c>
      <c r="B434" s="2">
        <v>234466.18331517366</v>
      </c>
      <c r="C434" s="6">
        <f>VLOOKUP(A434,fund_value_simple[],8,FALSE)</f>
        <v>1.4808180188463176</v>
      </c>
      <c r="D434" s="5">
        <f t="shared" si="22"/>
        <v>347201.74906323297</v>
      </c>
      <c r="E434">
        <v>240000</v>
      </c>
      <c r="F434" s="4">
        <f t="shared" si="23"/>
        <v>0.44667395443013741</v>
      </c>
    </row>
    <row r="435" spans="1:6" x14ac:dyDescent="0.5">
      <c r="A435" s="3">
        <v>44078</v>
      </c>
      <c r="B435" s="2">
        <v>234466.18331517366</v>
      </c>
      <c r="C435" s="6">
        <f>VLOOKUP(A435,fund_value_simple[],8,FALSE)</f>
        <v>1.4714059816304124</v>
      </c>
      <c r="D435" s="5">
        <f t="shared" si="22"/>
        <v>344994.94461999933</v>
      </c>
      <c r="E435">
        <v>240000</v>
      </c>
      <c r="F435" s="4">
        <f t="shared" si="23"/>
        <v>0.43747893591666387</v>
      </c>
    </row>
    <row r="436" spans="1:6" x14ac:dyDescent="0.5">
      <c r="A436" s="3">
        <v>44081</v>
      </c>
      <c r="B436" s="2">
        <v>234466.18331517366</v>
      </c>
      <c r="C436" s="6">
        <f>VLOOKUP(A436,fund_value_simple[],8,FALSE)</f>
        <v>1.468748245943243</v>
      </c>
      <c r="D436" s="5">
        <f t="shared" si="22"/>
        <v>344371.79547716823</v>
      </c>
      <c r="E436">
        <v>240000</v>
      </c>
      <c r="F436" s="4">
        <f t="shared" si="23"/>
        <v>0.43488248115486761</v>
      </c>
    </row>
    <row r="437" spans="1:6" x14ac:dyDescent="0.5">
      <c r="A437" s="3">
        <v>44082</v>
      </c>
      <c r="B437" s="2">
        <v>234466.18331517366</v>
      </c>
      <c r="C437" s="6">
        <f>VLOOKUP(A437,fund_value_simple[],8,FALSE)</f>
        <v>1.468748245943243</v>
      </c>
      <c r="D437" s="5">
        <f t="shared" si="22"/>
        <v>344371.79547716823</v>
      </c>
      <c r="E437">
        <v>240000</v>
      </c>
      <c r="F437" s="4">
        <f t="shared" si="23"/>
        <v>0.43488248115486761</v>
      </c>
    </row>
    <row r="438" spans="1:6" x14ac:dyDescent="0.5">
      <c r="A438" s="3">
        <v>44083</v>
      </c>
      <c r="B438" s="2">
        <v>234466.18331517366</v>
      </c>
      <c r="C438" s="6">
        <f>VLOOKUP(A438,fund_value_simple[],8,FALSE)</f>
        <v>1.4652618844901462</v>
      </c>
      <c r="D438" s="5">
        <f t="shared" si="22"/>
        <v>343554.36161360343</v>
      </c>
      <c r="E438">
        <v>240000</v>
      </c>
      <c r="F438" s="4">
        <f t="shared" si="23"/>
        <v>0.43147650672334759</v>
      </c>
    </row>
    <row r="439" spans="1:6" x14ac:dyDescent="0.5">
      <c r="A439" s="3">
        <v>44084</v>
      </c>
      <c r="B439" s="2">
        <v>234466.18331517366</v>
      </c>
      <c r="C439" s="6">
        <f>VLOOKUP(A439,fund_value_simple[],8,FALSE)</f>
        <v>1.4652618844901462</v>
      </c>
      <c r="D439" s="5">
        <f t="shared" si="22"/>
        <v>343554.36161360343</v>
      </c>
      <c r="E439">
        <v>240000</v>
      </c>
      <c r="F439" s="4">
        <f t="shared" si="23"/>
        <v>0.43147650672334759</v>
      </c>
    </row>
    <row r="440" spans="1:6" x14ac:dyDescent="0.5">
      <c r="A440" s="3">
        <v>44085</v>
      </c>
      <c r="B440" s="2">
        <v>234466.18331517366</v>
      </c>
      <c r="C440" s="6">
        <f>VLOOKUP(A440,fund_value_simple[],8,FALSE)</f>
        <v>1.4652618844901462</v>
      </c>
      <c r="D440" s="5">
        <f t="shared" si="22"/>
        <v>343554.36161360343</v>
      </c>
      <c r="E440">
        <v>240000</v>
      </c>
      <c r="F440" s="4">
        <f t="shared" si="23"/>
        <v>0.43147650672334759</v>
      </c>
    </row>
    <row r="441" spans="1:6" x14ac:dyDescent="0.5">
      <c r="A441" s="3">
        <v>44088</v>
      </c>
      <c r="B441" s="2">
        <v>234466.18331517366</v>
      </c>
      <c r="C441" s="6">
        <f>VLOOKUP(A441,fund_value_simple[],8,FALSE)</f>
        <v>1.4652618844901462</v>
      </c>
      <c r="D441" s="5">
        <f t="shared" si="22"/>
        <v>343554.36161360343</v>
      </c>
      <c r="E441">
        <v>240000</v>
      </c>
      <c r="F441" s="4">
        <f t="shared" si="23"/>
        <v>0.43147650672334759</v>
      </c>
    </row>
    <row r="442" spans="1:6" x14ac:dyDescent="0.5">
      <c r="A442" s="3">
        <v>44089</v>
      </c>
      <c r="B442" s="2">
        <v>234466.18331517366</v>
      </c>
      <c r="C442" s="6">
        <f>VLOOKUP(A442,fund_value_simple[],8,FALSE)</f>
        <v>1.4652618844901462</v>
      </c>
      <c r="D442" s="5">
        <f t="shared" si="22"/>
        <v>343554.36161360343</v>
      </c>
      <c r="E442">
        <v>240000</v>
      </c>
      <c r="F442" s="4">
        <f t="shared" si="23"/>
        <v>0.43147650672334759</v>
      </c>
    </row>
    <row r="443" spans="1:6" x14ac:dyDescent="0.5">
      <c r="A443" s="3">
        <v>44090</v>
      </c>
      <c r="B443" s="2">
        <v>234466.18331517366</v>
      </c>
      <c r="C443" s="6">
        <f>VLOOKUP(A443,fund_value_simple[],8,FALSE)</f>
        <v>1.4652618844901462</v>
      </c>
      <c r="D443" s="5">
        <f t="shared" si="22"/>
        <v>343554.36161360343</v>
      </c>
      <c r="E443">
        <v>240000</v>
      </c>
      <c r="F443" s="4">
        <f t="shared" si="23"/>
        <v>0.43147650672334759</v>
      </c>
    </row>
    <row r="444" spans="1:6" x14ac:dyDescent="0.5">
      <c r="A444" s="3">
        <v>44091</v>
      </c>
      <c r="B444" s="2">
        <v>234466.18331517366</v>
      </c>
      <c r="C444" s="6">
        <f>VLOOKUP(A444,fund_value_simple[],8,FALSE)</f>
        <v>1.4652618844901462</v>
      </c>
      <c r="D444" s="5">
        <f t="shared" si="22"/>
        <v>343554.36161360343</v>
      </c>
      <c r="E444">
        <v>240000</v>
      </c>
      <c r="F444" s="4">
        <f t="shared" si="23"/>
        <v>0.43147650672334759</v>
      </c>
    </row>
    <row r="445" spans="1:6" x14ac:dyDescent="0.5">
      <c r="A445" s="3">
        <v>44092</v>
      </c>
      <c r="B445" s="2">
        <v>234466.18331517366</v>
      </c>
      <c r="C445" s="6">
        <f>VLOOKUP(A445,fund_value_simple[],8,FALSE)</f>
        <v>1.4655900051106874</v>
      </c>
      <c r="D445" s="5">
        <f t="shared" si="22"/>
        <v>343631.29480316874</v>
      </c>
      <c r="E445">
        <v>240000</v>
      </c>
      <c r="F445" s="4">
        <f t="shared" si="23"/>
        <v>0.43179706167986975</v>
      </c>
    </row>
    <row r="446" spans="1:6" x14ac:dyDescent="0.5">
      <c r="A446" s="3">
        <v>44095</v>
      </c>
      <c r="B446" s="2">
        <v>234466.18331517366</v>
      </c>
      <c r="C446" s="6">
        <f>VLOOKUP(A446,fund_value_simple[],8,FALSE)</f>
        <v>1.4655900051106874</v>
      </c>
      <c r="D446" s="5">
        <f t="shared" si="22"/>
        <v>343631.29480316874</v>
      </c>
      <c r="E446">
        <v>240000</v>
      </c>
      <c r="F446" s="4">
        <f t="shared" si="23"/>
        <v>0.43179706167986975</v>
      </c>
    </row>
    <row r="447" spans="1:6" x14ac:dyDescent="0.5">
      <c r="A447" s="3">
        <v>44096</v>
      </c>
      <c r="B447" s="2">
        <v>234466.18331517366</v>
      </c>
      <c r="C447" s="6">
        <f>VLOOKUP(A447,fund_value_simple[],8,FALSE)</f>
        <v>1.4655900051106874</v>
      </c>
      <c r="D447" s="5">
        <f t="shared" si="22"/>
        <v>343631.29480316874</v>
      </c>
      <c r="E447">
        <v>240000</v>
      </c>
      <c r="F447" s="4">
        <f t="shared" si="23"/>
        <v>0.43179706167986975</v>
      </c>
    </row>
    <row r="448" spans="1:6" x14ac:dyDescent="0.5">
      <c r="A448" s="3">
        <v>44097</v>
      </c>
      <c r="B448" s="2">
        <v>234466.18331517366</v>
      </c>
      <c r="C448" s="6">
        <f>VLOOKUP(A448,fund_value_simple[],8,FALSE)</f>
        <v>1.4655900051106874</v>
      </c>
      <c r="D448" s="5">
        <f t="shared" si="22"/>
        <v>343631.29480316874</v>
      </c>
      <c r="E448">
        <v>240000</v>
      </c>
      <c r="F448" s="4">
        <f t="shared" si="23"/>
        <v>0.43179706167986975</v>
      </c>
    </row>
    <row r="449" spans="1:6" x14ac:dyDescent="0.5">
      <c r="A449" s="3">
        <v>44098</v>
      </c>
      <c r="B449" s="2">
        <v>234466.18331517366</v>
      </c>
      <c r="C449" s="6">
        <f>VLOOKUP(A449,fund_value_simple[],8,FALSE)</f>
        <v>1.4625985867995592</v>
      </c>
      <c r="D449" s="5">
        <f t="shared" si="22"/>
        <v>342929.90836905938</v>
      </c>
      <c r="E449">
        <v>240000</v>
      </c>
      <c r="F449" s="4">
        <f t="shared" si="23"/>
        <v>0.42887461820441408</v>
      </c>
    </row>
    <row r="450" spans="1:6" x14ac:dyDescent="0.5">
      <c r="A450" s="3">
        <v>44099</v>
      </c>
      <c r="B450" s="2">
        <v>234466.18331517366</v>
      </c>
      <c r="C450" s="6">
        <f>VLOOKUP(A450,fund_value_simple[],8,FALSE)</f>
        <v>1.4635681792872426</v>
      </c>
      <c r="D450" s="5">
        <f t="shared" si="22"/>
        <v>343157.2450190176</v>
      </c>
      <c r="E450">
        <v>240000</v>
      </c>
      <c r="F450" s="4">
        <f t="shared" si="23"/>
        <v>0.42982185424590669</v>
      </c>
    </row>
    <row r="451" spans="1:6" x14ac:dyDescent="0.5">
      <c r="A451" s="3">
        <v>44102</v>
      </c>
      <c r="B451" s="2">
        <v>234466.18331517366</v>
      </c>
      <c r="C451" s="6">
        <f>VLOOKUP(A451,fund_value_simple[],8,FALSE)</f>
        <v>1.4554669709849188</v>
      </c>
      <c r="D451" s="5">
        <f t="shared" si="22"/>
        <v>341257.78562813054</v>
      </c>
      <c r="E451">
        <v>240000</v>
      </c>
      <c r="F451" s="4">
        <f t="shared" si="23"/>
        <v>0.4219074401172106</v>
      </c>
    </row>
    <row r="452" spans="1:6" x14ac:dyDescent="0.5">
      <c r="A452" s="3">
        <v>44103</v>
      </c>
      <c r="B452" s="2">
        <v>234466.18331517366</v>
      </c>
      <c r="C452" s="6">
        <f>VLOOKUP(A452,fund_value_simple[],8,FALSE)</f>
        <v>1.4611620802107033</v>
      </c>
      <c r="D452" s="5">
        <f t="shared" si="22"/>
        <v>342593.09615186322</v>
      </c>
      <c r="E452">
        <v>240000</v>
      </c>
      <c r="F452" s="4">
        <f t="shared" si="23"/>
        <v>0.42747123396609676</v>
      </c>
    </row>
    <row r="453" spans="1:6" x14ac:dyDescent="0.5">
      <c r="A453" s="3">
        <v>44104</v>
      </c>
      <c r="B453" s="2">
        <v>234466.18331517366</v>
      </c>
      <c r="C453" s="6">
        <f>VLOOKUP(A453,fund_value_simple[],8,FALSE)</f>
        <v>1.4663664137706989</v>
      </c>
      <c r="D453" s="5">
        <f t="shared" si="22"/>
        <v>343813.33637837449</v>
      </c>
      <c r="E453">
        <v>240000</v>
      </c>
      <c r="F453" s="4">
        <f t="shared" si="23"/>
        <v>0.43255556824322705</v>
      </c>
    </row>
    <row r="454" spans="1:6" x14ac:dyDescent="0.5">
      <c r="A454" s="3">
        <v>44113</v>
      </c>
      <c r="B454" s="2">
        <v>234466.18331517366</v>
      </c>
      <c r="C454" s="6">
        <f>VLOOKUP(A454,fund_value_simple[],8,FALSE)</f>
        <v>1.5095603144075473</v>
      </c>
      <c r="D454" s="5">
        <f t="shared" si="22"/>
        <v>353940.84540319117</v>
      </c>
      <c r="E454">
        <v>240000</v>
      </c>
      <c r="F454" s="4">
        <f t="shared" si="23"/>
        <v>0.47475352251329656</v>
      </c>
    </row>
    <row r="455" spans="1:6" x14ac:dyDescent="0.5">
      <c r="A455" s="3">
        <v>44116</v>
      </c>
      <c r="B455" s="2">
        <v>234466.18331517366</v>
      </c>
      <c r="C455" s="6">
        <f>VLOOKUP(A455,fund_value_simple[],8,FALSE)</f>
        <v>1.5393432698112777</v>
      </c>
      <c r="D455" s="5">
        <f t="shared" si="22"/>
        <v>360923.94128454989</v>
      </c>
      <c r="E455">
        <v>240000</v>
      </c>
      <c r="F455" s="4">
        <f t="shared" si="23"/>
        <v>0.50384975535229115</v>
      </c>
    </row>
    <row r="456" spans="1:6" x14ac:dyDescent="0.5">
      <c r="A456" s="3">
        <v>44117</v>
      </c>
      <c r="B456" s="2">
        <v>234466.18331517366</v>
      </c>
      <c r="C456" s="6">
        <f>VLOOKUP(A456,fund_value_simple[],8,FALSE)</f>
        <v>1.5433127586030635</v>
      </c>
      <c r="D456" s="5">
        <f t="shared" si="22"/>
        <v>361854.65217127226</v>
      </c>
      <c r="E456">
        <v>240000</v>
      </c>
      <c r="F456" s="4">
        <f t="shared" si="23"/>
        <v>0.50772771738030109</v>
      </c>
    </row>
    <row r="457" spans="1:6" x14ac:dyDescent="0.5">
      <c r="A457" s="3">
        <v>44118</v>
      </c>
      <c r="B457" s="2">
        <v>234466.18331517366</v>
      </c>
      <c r="C457" s="6">
        <f>VLOOKUP(A457,fund_value_simple[],8,FALSE)</f>
        <v>1.5374177282347448</v>
      </c>
      <c r="D457" s="5">
        <f t="shared" si="22"/>
        <v>360472.46690028551</v>
      </c>
      <c r="E457">
        <v>240000</v>
      </c>
      <c r="F457" s="4">
        <f t="shared" si="23"/>
        <v>0.50196861208452292</v>
      </c>
    </row>
    <row r="458" spans="1:6" x14ac:dyDescent="0.5">
      <c r="A458" s="3">
        <v>44119</v>
      </c>
      <c r="B458" s="2">
        <v>234466.18331517366</v>
      </c>
      <c r="C458" s="6">
        <f>VLOOKUP(A458,fund_value_simple[],8,FALSE)</f>
        <v>1.5289546710824589</v>
      </c>
      <c r="D458" s="5">
        <f t="shared" si="22"/>
        <v>358488.16619061085</v>
      </c>
      <c r="E458">
        <v>240000</v>
      </c>
      <c r="F458" s="4">
        <f t="shared" si="23"/>
        <v>0.49370069246087855</v>
      </c>
    </row>
    <row r="459" spans="1:6" x14ac:dyDescent="0.5">
      <c r="A459" s="3">
        <v>44120</v>
      </c>
      <c r="B459" s="2">
        <v>234466.18331517366</v>
      </c>
      <c r="C459" s="6">
        <f>VLOOKUP(A459,fund_value_simple[],8,FALSE)</f>
        <v>1.5312313478148936</v>
      </c>
      <c r="D459" s="5">
        <f t="shared" si="22"/>
        <v>359021.96989470726</v>
      </c>
      <c r="E459">
        <v>240000</v>
      </c>
      <c r="F459" s="4">
        <f t="shared" si="23"/>
        <v>0.49592487456128026</v>
      </c>
    </row>
    <row r="460" spans="1:6" x14ac:dyDescent="0.5">
      <c r="A460" s="3">
        <v>44123</v>
      </c>
      <c r="B460" s="2">
        <v>234466.18331517366</v>
      </c>
      <c r="C460" s="6">
        <f>VLOOKUP(A460,fund_value_simple[],8,FALSE)</f>
        <v>1.5089995658749413</v>
      </c>
      <c r="D460" s="5">
        <f t="shared" ref="D460:D513" si="24">B460*C460</f>
        <v>353809.36883495149</v>
      </c>
      <c r="E460">
        <v>240000</v>
      </c>
      <c r="F460" s="4">
        <f t="shared" si="23"/>
        <v>0.47420570347896451</v>
      </c>
    </row>
    <row r="461" spans="1:6" x14ac:dyDescent="0.5">
      <c r="A461" s="3">
        <v>44124</v>
      </c>
      <c r="B461" s="2">
        <v>234466.18331517366</v>
      </c>
      <c r="C461" s="6">
        <f>VLOOKUP(A461,fund_value_simple[],8,FALSE)</f>
        <v>1.528200603007986</v>
      </c>
      <c r="D461" s="5">
        <f t="shared" si="24"/>
        <v>358311.36272722937</v>
      </c>
      <c r="E461">
        <v>240000</v>
      </c>
      <c r="F461" s="4">
        <f t="shared" si="23"/>
        <v>0.49296401136345569</v>
      </c>
    </row>
    <row r="462" spans="1:6" x14ac:dyDescent="0.5">
      <c r="A462" s="3">
        <v>44125</v>
      </c>
      <c r="B462" s="2">
        <v>234466.18331517366</v>
      </c>
      <c r="C462" s="6">
        <f>VLOOKUP(A462,fund_value_simple[],8,FALSE)</f>
        <v>1.5194202476745382</v>
      </c>
      <c r="D462" s="5">
        <f t="shared" si="24"/>
        <v>356252.66632404487</v>
      </c>
      <c r="E462">
        <v>240000</v>
      </c>
      <c r="F462" s="4">
        <f t="shared" si="23"/>
        <v>0.48438610968352031</v>
      </c>
    </row>
    <row r="463" spans="1:6" x14ac:dyDescent="0.5">
      <c r="A463" s="3">
        <v>44126</v>
      </c>
      <c r="B463" s="2">
        <v>234466.18331517366</v>
      </c>
      <c r="C463" s="6">
        <f>VLOOKUP(A463,fund_value_simple[],8,FALSE)</f>
        <v>1.4914525240942043</v>
      </c>
      <c r="D463" s="5">
        <f t="shared" si="24"/>
        <v>349695.18092015019</v>
      </c>
      <c r="E463">
        <v>240000</v>
      </c>
      <c r="F463" s="4">
        <f t="shared" si="23"/>
        <v>0.45706325383395913</v>
      </c>
    </row>
    <row r="464" spans="1:6" x14ac:dyDescent="0.5">
      <c r="A464" s="3">
        <v>44127</v>
      </c>
      <c r="B464" s="2">
        <v>234466.18331517366</v>
      </c>
      <c r="C464" s="6">
        <f>VLOOKUP(A464,fund_value_simple[],8,FALSE)</f>
        <v>1.4823992515712068</v>
      </c>
      <c r="D464" s="5">
        <f t="shared" si="24"/>
        <v>347572.49466517079</v>
      </c>
      <c r="E464">
        <v>240000</v>
      </c>
      <c r="F464" s="4">
        <f t="shared" ref="F464:F513" si="25">(D464-E464)/E464</f>
        <v>0.44821872777154492</v>
      </c>
    </row>
    <row r="465" spans="1:6" x14ac:dyDescent="0.5">
      <c r="A465" s="12">
        <v>44130</v>
      </c>
      <c r="B465" s="2">
        <v>234466.18331517366</v>
      </c>
      <c r="C465" s="6">
        <f>VLOOKUP(A465,fund_value_simple[],8,FALSE)</f>
        <v>1.4808162693385087</v>
      </c>
      <c r="D465" s="5">
        <f t="shared" si="24"/>
        <v>347201.33886281436</v>
      </c>
      <c r="E465">
        <v>240000</v>
      </c>
      <c r="F465" s="4">
        <f t="shared" si="25"/>
        <v>0.4466722452617265</v>
      </c>
    </row>
    <row r="466" spans="1:6" x14ac:dyDescent="0.5">
      <c r="A466" s="13">
        <v>44131</v>
      </c>
      <c r="B466" s="2">
        <v>234466.18331517366</v>
      </c>
      <c r="C466" s="6">
        <f>VLOOKUP(A466,fund_value_simple[],8,FALSE)</f>
        <v>1.4808162693385087</v>
      </c>
      <c r="D466" s="5">
        <f t="shared" si="24"/>
        <v>347201.33886281436</v>
      </c>
      <c r="E466">
        <v>240000</v>
      </c>
      <c r="F466" s="4">
        <f t="shared" si="25"/>
        <v>0.4466722452617265</v>
      </c>
    </row>
    <row r="467" spans="1:6" x14ac:dyDescent="0.5">
      <c r="A467" s="12">
        <v>44132</v>
      </c>
      <c r="B467" s="2">
        <v>234466.18331517366</v>
      </c>
      <c r="C467" s="6">
        <f>VLOOKUP(A467,fund_value_simple[],8,FALSE)</f>
        <v>1.4808162693385087</v>
      </c>
      <c r="D467" s="5">
        <f t="shared" si="24"/>
        <v>347201.33886281436</v>
      </c>
      <c r="E467">
        <v>240000</v>
      </c>
      <c r="F467" s="4">
        <f t="shared" si="25"/>
        <v>0.4466722452617265</v>
      </c>
    </row>
    <row r="468" spans="1:6" x14ac:dyDescent="0.5">
      <c r="A468" s="13">
        <v>44133</v>
      </c>
      <c r="B468" s="2">
        <v>234466.18331517366</v>
      </c>
      <c r="C468" s="6">
        <f>VLOOKUP(A468,fund_value_simple[],8,FALSE)</f>
        <v>1.4808162693385087</v>
      </c>
      <c r="D468" s="5">
        <f t="shared" si="24"/>
        <v>347201.33886281436</v>
      </c>
      <c r="E468">
        <v>240000</v>
      </c>
      <c r="F468" s="4">
        <f t="shared" si="25"/>
        <v>0.4466722452617265</v>
      </c>
    </row>
    <row r="469" spans="1:6" x14ac:dyDescent="0.5">
      <c r="A469" s="12">
        <v>44134</v>
      </c>
      <c r="B469" s="2">
        <v>234466.18331517366</v>
      </c>
      <c r="C469" s="6">
        <f>VLOOKUP(A469,fund_value_simple[],8,FALSE)</f>
        <v>1.473418204291171</v>
      </c>
      <c r="D469" s="5">
        <f t="shared" si="24"/>
        <v>345466.7427872477</v>
      </c>
      <c r="E469">
        <v>240000</v>
      </c>
      <c r="F469" s="4">
        <f t="shared" si="25"/>
        <v>0.43944476161353208</v>
      </c>
    </row>
    <row r="470" spans="1:6" x14ac:dyDescent="0.5">
      <c r="A470" s="13">
        <v>44137</v>
      </c>
      <c r="B470" s="2">
        <v>234466.18331517366</v>
      </c>
      <c r="C470" s="6">
        <f>VLOOKUP(A470,fund_value_simple[],8,FALSE)</f>
        <v>1.4921561159188808</v>
      </c>
      <c r="D470" s="5">
        <f t="shared" si="24"/>
        <v>349860.14940989384</v>
      </c>
      <c r="E470">
        <v>240000</v>
      </c>
      <c r="F470" s="4">
        <f t="shared" si="25"/>
        <v>0.45775062254122434</v>
      </c>
    </row>
    <row r="471" spans="1:6" x14ac:dyDescent="0.5">
      <c r="A471" s="12">
        <v>44138</v>
      </c>
      <c r="B471" s="2">
        <v>234466.18331517366</v>
      </c>
      <c r="C471" s="6">
        <f>VLOOKUP(A471,fund_value_simple[],8,FALSE)</f>
        <v>1.4964353675630502</v>
      </c>
      <c r="D471" s="5">
        <f t="shared" si="24"/>
        <v>350863.48921034741</v>
      </c>
      <c r="E471">
        <v>240000</v>
      </c>
      <c r="F471" s="4">
        <f t="shared" si="25"/>
        <v>0.46193120504311419</v>
      </c>
    </row>
    <row r="472" spans="1:6" x14ac:dyDescent="0.5">
      <c r="A472" s="13">
        <v>44139</v>
      </c>
      <c r="B472" s="2">
        <v>234466.18331517366</v>
      </c>
      <c r="C472" s="6">
        <f>VLOOKUP(A472,fund_value_simple[],8,FALSE)</f>
        <v>1.5153594232908345</v>
      </c>
      <c r="D472" s="5">
        <f t="shared" si="24"/>
        <v>355300.54032968462</v>
      </c>
      <c r="E472">
        <v>240000</v>
      </c>
      <c r="F472" s="4">
        <f t="shared" si="25"/>
        <v>0.48041891804035258</v>
      </c>
    </row>
    <row r="473" spans="1:6" x14ac:dyDescent="0.5">
      <c r="A473" s="12">
        <v>44140</v>
      </c>
      <c r="B473" s="2">
        <v>234466.18331517366</v>
      </c>
      <c r="C473" s="6">
        <f>VLOOKUP(A473,fund_value_simple[],8,FALSE)</f>
        <v>1.5293414482372647</v>
      </c>
      <c r="D473" s="5">
        <f t="shared" si="24"/>
        <v>358578.85235389171</v>
      </c>
      <c r="E473">
        <v>240000</v>
      </c>
      <c r="F473" s="4">
        <f t="shared" si="25"/>
        <v>0.49407855147454877</v>
      </c>
    </row>
    <row r="474" spans="1:6" x14ac:dyDescent="0.5">
      <c r="A474" s="13">
        <v>44141</v>
      </c>
      <c r="B474" s="2">
        <v>234466.18331517366</v>
      </c>
      <c r="C474" s="6">
        <f>VLOOKUP(A474,fund_value_simple[],8,FALSE)</f>
        <v>1.5389494574657243</v>
      </c>
      <c r="D474" s="5">
        <f t="shared" si="24"/>
        <v>360831.60560694558</v>
      </c>
      <c r="E474">
        <v>240000</v>
      </c>
      <c r="F474" s="4">
        <f t="shared" si="25"/>
        <v>0.50346502336227328</v>
      </c>
    </row>
    <row r="475" spans="1:6" x14ac:dyDescent="0.5">
      <c r="A475" s="12">
        <v>44144</v>
      </c>
      <c r="B475" s="2">
        <v>234466.18331517366</v>
      </c>
      <c r="C475" s="6">
        <f>VLOOKUP(A475,fund_value_simple[],8,FALSE)</f>
        <v>1.5469408588463631</v>
      </c>
      <c r="D475" s="5">
        <f t="shared" si="24"/>
        <v>362705.31898800354</v>
      </c>
      <c r="E475">
        <v>240000</v>
      </c>
      <c r="F475" s="4">
        <f t="shared" si="25"/>
        <v>0.51127216245001472</v>
      </c>
    </row>
    <row r="476" spans="1:6" x14ac:dyDescent="0.5">
      <c r="A476" s="13">
        <v>44145</v>
      </c>
      <c r="B476" s="2">
        <v>234466.18331517366</v>
      </c>
      <c r="C476" s="6">
        <f>VLOOKUP(A476,fund_value_simple[],8,FALSE)</f>
        <v>1.5225975598042885</v>
      </c>
      <c r="D476" s="5">
        <f t="shared" si="24"/>
        <v>356997.63857230841</v>
      </c>
      <c r="E476">
        <v>240000</v>
      </c>
      <c r="F476" s="4">
        <f t="shared" si="25"/>
        <v>0.4874901607179517</v>
      </c>
    </row>
    <row r="477" spans="1:6" x14ac:dyDescent="0.5">
      <c r="A477" s="12">
        <v>44146</v>
      </c>
      <c r="B477" s="2">
        <v>234466.18331517366</v>
      </c>
      <c r="C477" s="6">
        <f>VLOOKUP(A477,fund_value_simple[],8,FALSE)</f>
        <v>1.5022820453848995</v>
      </c>
      <c r="D477" s="5">
        <f t="shared" si="24"/>
        <v>352234.3374443099</v>
      </c>
      <c r="E477">
        <v>240000</v>
      </c>
      <c r="F477" s="4">
        <f t="shared" si="25"/>
        <v>0.46764307268462457</v>
      </c>
    </row>
    <row r="478" spans="1:6" x14ac:dyDescent="0.5">
      <c r="A478" s="13">
        <v>44147</v>
      </c>
      <c r="B478" s="2">
        <v>234466.18331517366</v>
      </c>
      <c r="C478" s="6">
        <f>VLOOKUP(A478,fund_value_simple[],8,FALSE)</f>
        <v>1.5163449008763663</v>
      </c>
      <c r="D478" s="5">
        <f t="shared" si="24"/>
        <v>355531.60149790696</v>
      </c>
      <c r="E478">
        <v>240000</v>
      </c>
      <c r="F478" s="4">
        <f t="shared" si="25"/>
        <v>0.48138167290794565</v>
      </c>
    </row>
    <row r="479" spans="1:6" x14ac:dyDescent="0.5">
      <c r="A479" s="12">
        <v>44148</v>
      </c>
      <c r="B479" s="2">
        <v>234466.18331517366</v>
      </c>
      <c r="C479" s="6">
        <f>VLOOKUP(A479,fund_value_simple[],8,FALSE)</f>
        <v>1.5119942271650724</v>
      </c>
      <c r="D479" s="5">
        <f t="shared" si="24"/>
        <v>354511.51563797018</v>
      </c>
      <c r="E479">
        <v>240000</v>
      </c>
      <c r="F479" s="4">
        <f t="shared" si="25"/>
        <v>0.47713131515820906</v>
      </c>
    </row>
    <row r="480" spans="1:6" x14ac:dyDescent="0.5">
      <c r="A480" s="13">
        <v>44151</v>
      </c>
      <c r="B480" s="2">
        <v>234466.18331517366</v>
      </c>
      <c r="C480" s="6">
        <f>VLOOKUP(A480,fund_value_simple[],8,FALSE)</f>
        <v>1.5118059170738527</v>
      </c>
      <c r="D480" s="5">
        <f t="shared" si="24"/>
        <v>354467.36328960216</v>
      </c>
      <c r="E480">
        <v>240000</v>
      </c>
      <c r="F480" s="4">
        <f t="shared" si="25"/>
        <v>0.47694734704000902</v>
      </c>
    </row>
    <row r="481" spans="1:6" x14ac:dyDescent="0.5">
      <c r="A481" s="12">
        <v>44152</v>
      </c>
      <c r="B481" s="2">
        <v>234466.18331517366</v>
      </c>
      <c r="C481" s="6">
        <f>VLOOKUP(A481,fund_value_simple[],8,FALSE)</f>
        <v>1.5112421859446421</v>
      </c>
      <c r="D481" s="5">
        <f t="shared" si="24"/>
        <v>354335.18740332022</v>
      </c>
      <c r="E481">
        <v>240000</v>
      </c>
      <c r="F481" s="4">
        <f t="shared" si="25"/>
        <v>0.47639661418050089</v>
      </c>
    </row>
    <row r="482" spans="1:6" x14ac:dyDescent="0.5">
      <c r="A482" s="13">
        <v>44153</v>
      </c>
      <c r="B482" s="2">
        <v>234466.18331517366</v>
      </c>
      <c r="C482" s="6">
        <f>VLOOKUP(A482,fund_value_simple[],8,FALSE)</f>
        <v>1.4955838820878675</v>
      </c>
      <c r="D482" s="5">
        <f t="shared" si="24"/>
        <v>350663.84466083301</v>
      </c>
      <c r="E482">
        <v>240000</v>
      </c>
      <c r="F482" s="4">
        <f t="shared" si="25"/>
        <v>0.46109935275347086</v>
      </c>
    </row>
    <row r="483" spans="1:6" x14ac:dyDescent="0.5">
      <c r="A483" s="12">
        <v>44154</v>
      </c>
      <c r="B483" s="2">
        <v>234466.18331517366</v>
      </c>
      <c r="C483" s="6">
        <f>VLOOKUP(A483,fund_value_simple[],8,FALSE)</f>
        <v>1.5197444220934195</v>
      </c>
      <c r="D483" s="5">
        <f t="shared" si="24"/>
        <v>356328.67426276836</v>
      </c>
      <c r="E483">
        <v>240000</v>
      </c>
      <c r="F483" s="4">
        <f t="shared" si="25"/>
        <v>0.48470280942820149</v>
      </c>
    </row>
    <row r="484" spans="1:6" x14ac:dyDescent="0.5">
      <c r="A484" s="13">
        <v>44155</v>
      </c>
      <c r="B484" s="2">
        <v>234466.18331517366</v>
      </c>
      <c r="C484" s="6">
        <f>VLOOKUP(A484,fund_value_simple[],8,FALSE)</f>
        <v>1.525534459975544</v>
      </c>
      <c r="D484" s="5">
        <f t="shared" si="24"/>
        <v>357686.24234624038</v>
      </c>
      <c r="E484">
        <v>240000</v>
      </c>
      <c r="F484" s="4">
        <f t="shared" si="25"/>
        <v>0.49035934310933493</v>
      </c>
    </row>
    <row r="485" spans="1:6" x14ac:dyDescent="0.5">
      <c r="A485" s="12">
        <v>44158</v>
      </c>
      <c r="B485" s="2">
        <v>234466.18331517366</v>
      </c>
      <c r="C485" s="6">
        <f>VLOOKUP(A485,fund_value_simple[],8,FALSE)</f>
        <v>1.5368008661996404</v>
      </c>
      <c r="D485" s="5">
        <f t="shared" si="24"/>
        <v>360327.83361328254</v>
      </c>
      <c r="E485">
        <v>240000</v>
      </c>
      <c r="F485" s="4">
        <f t="shared" si="25"/>
        <v>0.50136597338867728</v>
      </c>
    </row>
    <row r="486" spans="1:6" x14ac:dyDescent="0.5">
      <c r="A486" s="13">
        <v>44159</v>
      </c>
      <c r="B486" s="2">
        <v>234466.18331517366</v>
      </c>
      <c r="C486" s="6">
        <f>VLOOKUP(A486,fund_value_simple[],8,FALSE)</f>
        <v>1.5182433153073025</v>
      </c>
      <c r="D486" s="5">
        <f t="shared" si="24"/>
        <v>355976.71548387897</v>
      </c>
      <c r="E486">
        <v>240000</v>
      </c>
      <c r="F486" s="4">
        <f t="shared" si="25"/>
        <v>0.48323631451616239</v>
      </c>
    </row>
    <row r="487" spans="1:6" x14ac:dyDescent="0.5">
      <c r="A487" s="12">
        <v>44160</v>
      </c>
      <c r="B487" s="2">
        <v>234466.18331517366</v>
      </c>
      <c r="C487" s="6">
        <f>VLOOKUP(A487,fund_value_simple[],8,FALSE)</f>
        <v>1.496313450453072</v>
      </c>
      <c r="D487" s="5">
        <f t="shared" si="24"/>
        <v>350834.90377088997</v>
      </c>
      <c r="E487">
        <v>240000</v>
      </c>
      <c r="F487" s="4">
        <f t="shared" si="25"/>
        <v>0.4618120990453749</v>
      </c>
    </row>
    <row r="488" spans="1:6" x14ac:dyDescent="0.5">
      <c r="A488" s="13">
        <v>44161</v>
      </c>
      <c r="B488" s="2">
        <v>234466.18331517366</v>
      </c>
      <c r="C488" s="6">
        <f>VLOOKUP(A488,fund_value_simple[],8,FALSE)</f>
        <v>1.4744875292161743</v>
      </c>
      <c r="D488" s="5">
        <f t="shared" si="24"/>
        <v>345717.46332113701</v>
      </c>
      <c r="E488">
        <v>240000</v>
      </c>
      <c r="F488" s="4">
        <f t="shared" si="25"/>
        <v>0.44048943050473754</v>
      </c>
    </row>
    <row r="489" spans="1:6" x14ac:dyDescent="0.5">
      <c r="A489" s="12">
        <v>44162</v>
      </c>
      <c r="B489" s="2">
        <v>234466.18331517366</v>
      </c>
      <c r="C489" s="6">
        <f>VLOOKUP(A489,fund_value_simple[],8,FALSE)</f>
        <v>1.4733560698095904</v>
      </c>
      <c r="D489" s="5">
        <f t="shared" si="24"/>
        <v>345452.17435249925</v>
      </c>
      <c r="E489">
        <v>240000</v>
      </c>
      <c r="F489" s="4">
        <f t="shared" si="25"/>
        <v>0.43938405980208023</v>
      </c>
    </row>
    <row r="490" spans="1:6" x14ac:dyDescent="0.5">
      <c r="A490" s="13">
        <v>44165</v>
      </c>
      <c r="B490" s="2">
        <v>234466.18331517366</v>
      </c>
      <c r="C490" s="6">
        <f>VLOOKUP(A490,fund_value_simple[],8,FALSE)</f>
        <v>1.4703223853574892</v>
      </c>
      <c r="D490" s="5">
        <f t="shared" si="24"/>
        <v>344740.8779376325</v>
      </c>
      <c r="E490">
        <v>240000</v>
      </c>
      <c r="F490" s="4">
        <f t="shared" si="25"/>
        <v>0.43642032474013542</v>
      </c>
    </row>
    <row r="491" spans="1:6" x14ac:dyDescent="0.5">
      <c r="A491" s="12">
        <v>44166</v>
      </c>
      <c r="B491" s="2">
        <v>234466.18331517366</v>
      </c>
      <c r="C491" s="6">
        <f>VLOOKUP(A491,fund_value_simple[],8,FALSE)</f>
        <v>1.4716654271401506</v>
      </c>
      <c r="D491" s="5">
        <f t="shared" si="24"/>
        <v>345055.77581844589</v>
      </c>
      <c r="E491">
        <v>240000</v>
      </c>
      <c r="F491" s="4">
        <f t="shared" si="25"/>
        <v>0.43773239924352458</v>
      </c>
    </row>
    <row r="492" spans="1:6" x14ac:dyDescent="0.5">
      <c r="A492" s="13">
        <v>44167</v>
      </c>
      <c r="B492" s="2">
        <v>234466.18331517366</v>
      </c>
      <c r="C492" s="6">
        <f>VLOOKUP(A492,fund_value_simple[],8,FALSE)</f>
        <v>1.4740253434153989</v>
      </c>
      <c r="D492" s="5">
        <f t="shared" si="24"/>
        <v>345609.09638044675</v>
      </c>
      <c r="E492">
        <v>240000</v>
      </c>
      <c r="F492" s="4">
        <f t="shared" si="25"/>
        <v>0.44003790158519479</v>
      </c>
    </row>
    <row r="493" spans="1:6" x14ac:dyDescent="0.5">
      <c r="A493" s="12">
        <v>44168</v>
      </c>
      <c r="B493" s="2">
        <v>234466.18331517366</v>
      </c>
      <c r="C493" s="6">
        <f>VLOOKUP(A493,fund_value_simple[],8,FALSE)</f>
        <v>1.4702368255992297</v>
      </c>
      <c r="D493" s="5">
        <f t="shared" si="24"/>
        <v>344720.81706766802</v>
      </c>
      <c r="E493">
        <v>240000</v>
      </c>
      <c r="F493" s="4">
        <f t="shared" si="25"/>
        <v>0.43633673778195009</v>
      </c>
    </row>
    <row r="494" spans="1:6" x14ac:dyDescent="0.5">
      <c r="A494" s="13">
        <v>44169</v>
      </c>
      <c r="B494" s="2">
        <v>234466.18331517366</v>
      </c>
      <c r="C494" s="6">
        <f>VLOOKUP(A494,fund_value_simple[],8,FALSE)</f>
        <v>1.4718555325153886</v>
      </c>
      <c r="D494" s="5">
        <f t="shared" si="24"/>
        <v>345100.34910020564</v>
      </c>
      <c r="E494">
        <v>240000</v>
      </c>
      <c r="F494" s="4">
        <f t="shared" si="25"/>
        <v>0.43791812125085683</v>
      </c>
    </row>
    <row r="495" spans="1:6" x14ac:dyDescent="0.5">
      <c r="A495" s="12">
        <v>44172</v>
      </c>
      <c r="B495" s="2">
        <v>234466.18331517366</v>
      </c>
      <c r="C495" s="6">
        <f>VLOOKUP(A495,fund_value_simple[],8,FALSE)</f>
        <v>1.4679957389829923</v>
      </c>
      <c r="D495" s="5">
        <f t="shared" si="24"/>
        <v>344195.35804228007</v>
      </c>
      <c r="E495">
        <v>240000</v>
      </c>
      <c r="F495" s="4">
        <f t="shared" si="25"/>
        <v>0.434147325176167</v>
      </c>
    </row>
    <row r="496" spans="1:6" x14ac:dyDescent="0.5">
      <c r="A496" s="13">
        <v>44173</v>
      </c>
      <c r="B496" s="2">
        <v>234466.18331517366</v>
      </c>
      <c r="C496" s="6">
        <f>VLOOKUP(A496,fund_value_simple[],8,FALSE)</f>
        <v>1.4730860148749989</v>
      </c>
      <c r="D496" s="5">
        <f t="shared" si="24"/>
        <v>345388.85560270015</v>
      </c>
      <c r="E496">
        <v>240000</v>
      </c>
      <c r="F496" s="4">
        <f t="shared" si="25"/>
        <v>0.43912023167791731</v>
      </c>
    </row>
    <row r="497" spans="1:6" x14ac:dyDescent="0.5">
      <c r="A497" s="12">
        <v>44174</v>
      </c>
      <c r="B497" s="2">
        <v>234466.18331517366</v>
      </c>
      <c r="C497" s="6">
        <f>VLOOKUP(A497,fund_value_simple[],8,FALSE)</f>
        <v>1.4423309265257036</v>
      </c>
      <c r="D497" s="5">
        <f t="shared" si="24"/>
        <v>338177.82741991989</v>
      </c>
      <c r="E497">
        <v>240000</v>
      </c>
      <c r="F497" s="4">
        <f t="shared" si="25"/>
        <v>0.40907428091633291</v>
      </c>
    </row>
    <row r="498" spans="1:6" x14ac:dyDescent="0.5">
      <c r="A498" s="13">
        <v>44175</v>
      </c>
      <c r="B498" s="2">
        <v>234466.18331517366</v>
      </c>
      <c r="C498" s="6">
        <f>VLOOKUP(A498,fund_value_simple[],8,FALSE)</f>
        <v>1.441974197587744</v>
      </c>
      <c r="D498" s="5">
        <f t="shared" si="24"/>
        <v>338094.18654735846</v>
      </c>
      <c r="E498">
        <v>240000</v>
      </c>
      <c r="F498" s="4">
        <f t="shared" si="25"/>
        <v>0.40872577728066029</v>
      </c>
    </row>
    <row r="499" spans="1:6" x14ac:dyDescent="0.5">
      <c r="A499" s="12">
        <v>44176</v>
      </c>
      <c r="B499" s="2">
        <v>234466.18331517366</v>
      </c>
      <c r="C499" s="6">
        <f>VLOOKUP(A499,fund_value_simple[],8,FALSE)</f>
        <v>1.4242312156714616</v>
      </c>
      <c r="D499" s="5">
        <f t="shared" si="24"/>
        <v>333934.05729681754</v>
      </c>
      <c r="E499">
        <v>240000</v>
      </c>
      <c r="F499" s="4">
        <f t="shared" si="25"/>
        <v>0.3913919054034064</v>
      </c>
    </row>
    <row r="500" spans="1:6" x14ac:dyDescent="0.5">
      <c r="A500" s="13">
        <v>44179</v>
      </c>
      <c r="B500" s="2">
        <v>234466.18331517366</v>
      </c>
      <c r="C500" s="6">
        <f>VLOOKUP(A500,fund_value_simple[],8,FALSE)</f>
        <v>1.4424315227285756</v>
      </c>
      <c r="D500" s="5">
        <f t="shared" si="24"/>
        <v>338201.41382766329</v>
      </c>
      <c r="E500">
        <v>240000</v>
      </c>
      <c r="F500" s="4">
        <f t="shared" si="25"/>
        <v>0.40917255761526372</v>
      </c>
    </row>
    <row r="501" spans="1:6" x14ac:dyDescent="0.5">
      <c r="A501" s="12">
        <v>44180</v>
      </c>
      <c r="B501" s="2">
        <v>234466.18331517366</v>
      </c>
      <c r="C501" s="6">
        <f>VLOOKUP(A501,fund_value_simple[],8,FALSE)</f>
        <v>1.4438059433497326</v>
      </c>
      <c r="D501" s="5">
        <f t="shared" si="24"/>
        <v>338523.66898497567</v>
      </c>
      <c r="E501">
        <v>240000</v>
      </c>
      <c r="F501" s="4">
        <f t="shared" si="25"/>
        <v>0.41051528743739862</v>
      </c>
    </row>
    <row r="502" spans="1:6" x14ac:dyDescent="0.5">
      <c r="A502" s="13">
        <v>44181</v>
      </c>
      <c r="B502" s="2">
        <v>234466.18331517366</v>
      </c>
      <c r="C502" s="6">
        <f>VLOOKUP(A502,fund_value_simple[],8,FALSE)</f>
        <v>1.4305645137777103</v>
      </c>
      <c r="D502" s="5">
        <f t="shared" si="24"/>
        <v>335419.00153158692</v>
      </c>
      <c r="E502">
        <v>240000</v>
      </c>
      <c r="F502" s="4">
        <f t="shared" si="25"/>
        <v>0.39757917304827883</v>
      </c>
    </row>
    <row r="503" spans="1:6" x14ac:dyDescent="0.5">
      <c r="A503" s="12">
        <v>44182</v>
      </c>
      <c r="B503" s="2">
        <v>234466.18331517366</v>
      </c>
      <c r="C503" s="6">
        <f>VLOOKUP(A503,fund_value_simple[],8,FALSE)</f>
        <v>1.4466076081822496</v>
      </c>
      <c r="D503" s="5">
        <f t="shared" si="24"/>
        <v>339180.56464518426</v>
      </c>
      <c r="E503">
        <v>240000</v>
      </c>
      <c r="F503" s="4">
        <f t="shared" si="25"/>
        <v>0.41325235268826777</v>
      </c>
    </row>
    <row r="504" spans="1:6" x14ac:dyDescent="0.5">
      <c r="A504" s="13">
        <v>44183</v>
      </c>
      <c r="B504" s="2">
        <v>234466.18331517366</v>
      </c>
      <c r="C504" s="6">
        <f>VLOOKUP(A504,fund_value_simple[],8,FALSE)</f>
        <v>1.4455959236587508</v>
      </c>
      <c r="D504" s="5">
        <f t="shared" si="24"/>
        <v>338943.35883624043</v>
      </c>
      <c r="E504">
        <v>240000</v>
      </c>
      <c r="F504" s="4">
        <f t="shared" si="25"/>
        <v>0.41226399515100176</v>
      </c>
    </row>
    <row r="505" spans="1:6" x14ac:dyDescent="0.5">
      <c r="A505" s="12">
        <v>44186</v>
      </c>
      <c r="B505" s="2">
        <v>234466.18331517366</v>
      </c>
      <c r="C505" s="6">
        <f>VLOOKUP(A505,fund_value_simple[],8,FALSE)</f>
        <v>1.4860774648536414</v>
      </c>
      <c r="D505" s="5">
        <f t="shared" si="24"/>
        <v>348434.91129492247</v>
      </c>
      <c r="E505">
        <v>240000</v>
      </c>
      <c r="F505" s="4">
        <f t="shared" si="25"/>
        <v>0.45181213039551027</v>
      </c>
    </row>
    <row r="506" spans="1:6" x14ac:dyDescent="0.5">
      <c r="A506" s="13">
        <v>44187</v>
      </c>
      <c r="B506" s="2">
        <v>234466.18331517366</v>
      </c>
      <c r="C506" s="6">
        <f>VLOOKUP(A506,fund_value_simple[],8,FALSE)</f>
        <v>1.4394938756540396</v>
      </c>
      <c r="D506" s="5">
        <f t="shared" si="24"/>
        <v>337512.63493016985</v>
      </c>
      <c r="E506">
        <v>240000</v>
      </c>
      <c r="F506" s="4">
        <f t="shared" si="25"/>
        <v>0.40630264554237439</v>
      </c>
    </row>
    <row r="507" spans="1:6" x14ac:dyDescent="0.5">
      <c r="A507" s="12">
        <v>44188</v>
      </c>
      <c r="B507" s="2">
        <v>234466.18331517366</v>
      </c>
      <c r="C507" s="6">
        <f>VLOOKUP(A507,fund_value_simple[],8,FALSE)</f>
        <v>1.4726128141906143</v>
      </c>
      <c r="D507" s="5">
        <f t="shared" si="24"/>
        <v>345277.90604429034</v>
      </c>
      <c r="E507">
        <v>240000</v>
      </c>
      <c r="F507" s="4">
        <f t="shared" si="25"/>
        <v>0.43865794185120977</v>
      </c>
    </row>
    <row r="508" spans="1:6" x14ac:dyDescent="0.5">
      <c r="A508" s="13">
        <v>44189</v>
      </c>
      <c r="B508" s="2">
        <v>234466.18331517366</v>
      </c>
      <c r="C508" s="6">
        <f>VLOOKUP(A508,fund_value_simple[],8,FALSE)</f>
        <v>1.464667305367638</v>
      </c>
      <c r="D508" s="5">
        <f t="shared" si="24"/>
        <v>343414.95291607006</v>
      </c>
      <c r="E508">
        <v>240000</v>
      </c>
      <c r="F508" s="4">
        <f t="shared" si="25"/>
        <v>0.43089563715029194</v>
      </c>
    </row>
    <row r="509" spans="1:6" x14ac:dyDescent="0.5">
      <c r="A509" s="12">
        <v>44190</v>
      </c>
      <c r="B509" s="2">
        <v>234466.18331517366</v>
      </c>
      <c r="C509" s="6">
        <f>VLOOKUP(A509,fund_value_simple[],8,FALSE)</f>
        <v>1.4842833459546485</v>
      </c>
      <c r="D509" s="5">
        <f t="shared" si="24"/>
        <v>348014.25108426192</v>
      </c>
      <c r="E509">
        <v>240000</v>
      </c>
      <c r="F509" s="4">
        <f t="shared" si="25"/>
        <v>0.45005937951775804</v>
      </c>
    </row>
    <row r="510" spans="1:6" x14ac:dyDescent="0.5">
      <c r="A510" s="13">
        <v>44193</v>
      </c>
      <c r="B510" s="2">
        <v>234466.18331517366</v>
      </c>
      <c r="C510" s="6">
        <f>VLOOKUP(A510,fund_value_simple[],8,FALSE)</f>
        <v>1.4769923474720816</v>
      </c>
      <c r="D510" s="5">
        <f t="shared" si="24"/>
        <v>346304.75849749777</v>
      </c>
      <c r="E510">
        <v>240000</v>
      </c>
      <c r="F510" s="4">
        <f t="shared" si="25"/>
        <v>0.442936493739574</v>
      </c>
    </row>
    <row r="511" spans="1:6" x14ac:dyDescent="0.5">
      <c r="A511" s="12">
        <v>44194</v>
      </c>
      <c r="B511" s="2">
        <v>234466.18331517366</v>
      </c>
      <c r="C511" s="6">
        <f>VLOOKUP(A511,fund_value_simple[],8,FALSE)</f>
        <v>1.4591837831379497</v>
      </c>
      <c r="D511" s="5">
        <f t="shared" si="24"/>
        <v>342129.25238775113</v>
      </c>
      <c r="E511">
        <v>240000</v>
      </c>
      <c r="F511" s="4">
        <f t="shared" si="25"/>
        <v>0.4255385516156297</v>
      </c>
    </row>
    <row r="512" spans="1:6" x14ac:dyDescent="0.5">
      <c r="A512" s="13">
        <v>44195</v>
      </c>
      <c r="B512" s="2">
        <v>234466.18331517366</v>
      </c>
      <c r="C512" s="6">
        <f>VLOOKUP(A512,fund_value_simple[],8,FALSE)</f>
        <v>1.4986604571691937</v>
      </c>
      <c r="D512" s="5">
        <f t="shared" si="24"/>
        <v>351385.19747783412</v>
      </c>
      <c r="E512">
        <v>240000</v>
      </c>
      <c r="F512" s="4">
        <f t="shared" si="25"/>
        <v>0.46410498949097551</v>
      </c>
    </row>
    <row r="513" spans="1:6" x14ac:dyDescent="0.5">
      <c r="A513" s="12">
        <v>44196</v>
      </c>
      <c r="B513" s="2">
        <v>234466.18331517366</v>
      </c>
      <c r="C513" s="6">
        <f>VLOOKUP(A513,fund_value_simple[],8,FALSE)</f>
        <v>1.5505244346320113</v>
      </c>
      <c r="D513" s="5">
        <f t="shared" si="24"/>
        <v>363545.54632508516</v>
      </c>
      <c r="E513">
        <v>240000</v>
      </c>
      <c r="F513" s="4">
        <f t="shared" si="25"/>
        <v>0.51477310968785484</v>
      </c>
    </row>
  </sheetData>
  <phoneticPr fontId="2" type="noConversion"/>
  <pageMargins left="0.70866141732283472" right="0.70866141732283472" top="0.74803149606299213" bottom="0.74803149606299213" header="0.31496062992125984" footer="0.31496062992125984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B762C-1CF5-4639-848F-A23ED8F1FF9F}">
  <dimension ref="A1:H746"/>
  <sheetViews>
    <sheetView topLeftCell="A721" workbookViewId="0">
      <selection activeCell="A698" sqref="A698:A746"/>
    </sheetView>
  </sheetViews>
  <sheetFormatPr defaultRowHeight="14.1" x14ac:dyDescent="0.5"/>
  <cols>
    <col min="1" max="1" width="10.75" bestFit="1" customWidth="1"/>
    <col min="2" max="2" width="12" bestFit="1" customWidth="1"/>
    <col min="3" max="3" width="10.94921875" bestFit="1" customWidth="1"/>
    <col min="4" max="4" width="10.5" bestFit="1" customWidth="1"/>
    <col min="5" max="5" width="12" bestFit="1" customWidth="1"/>
    <col min="6" max="6" width="13" bestFit="1" customWidth="1"/>
    <col min="7" max="8" width="12" bestFit="1" customWidth="1"/>
  </cols>
  <sheetData>
    <row r="1" spans="1:8" x14ac:dyDescent="0.5">
      <c r="A1" t="s">
        <v>14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</row>
    <row r="2" spans="1:8" x14ac:dyDescent="0.5">
      <c r="A2" s="1">
        <v>43080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1</v>
      </c>
    </row>
    <row r="3" spans="1:8" x14ac:dyDescent="0.5">
      <c r="A3" s="1">
        <v>43081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1</v>
      </c>
    </row>
    <row r="4" spans="1:8" x14ac:dyDescent="0.5">
      <c r="A4" s="1">
        <v>43082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1</v>
      </c>
    </row>
    <row r="5" spans="1:8" x14ac:dyDescent="0.5">
      <c r="A5" s="1">
        <v>43083</v>
      </c>
      <c r="B5">
        <v>141133.4</v>
      </c>
      <c r="C5">
        <v>0</v>
      </c>
      <c r="D5">
        <v>140833.97</v>
      </c>
      <c r="E5">
        <v>141133.4</v>
      </c>
      <c r="F5">
        <v>140833.97</v>
      </c>
      <c r="G5">
        <v>140833.97</v>
      </c>
      <c r="H5">
        <v>1.0021261205659402</v>
      </c>
    </row>
    <row r="6" spans="1:8" x14ac:dyDescent="0.5">
      <c r="A6" s="1">
        <v>43084</v>
      </c>
      <c r="B6">
        <v>139265</v>
      </c>
      <c r="C6">
        <v>0</v>
      </c>
      <c r="D6">
        <v>0</v>
      </c>
      <c r="E6">
        <v>139265</v>
      </c>
      <c r="F6">
        <v>0</v>
      </c>
      <c r="G6">
        <v>140833.97</v>
      </c>
      <c r="H6">
        <v>0.98885943497864892</v>
      </c>
    </row>
    <row r="7" spans="1:8" x14ac:dyDescent="0.5">
      <c r="A7" s="1">
        <v>43087</v>
      </c>
      <c r="B7">
        <v>139299.6</v>
      </c>
      <c r="C7">
        <v>0</v>
      </c>
      <c r="D7">
        <v>0</v>
      </c>
      <c r="E7">
        <v>139299.6</v>
      </c>
      <c r="F7">
        <v>0</v>
      </c>
      <c r="G7">
        <v>140833.97</v>
      </c>
      <c r="H7">
        <v>0.9891051143413766</v>
      </c>
    </row>
    <row r="8" spans="1:8" x14ac:dyDescent="0.5">
      <c r="A8" s="1">
        <v>43088</v>
      </c>
      <c r="B8">
        <v>141133.4</v>
      </c>
      <c r="C8">
        <v>0</v>
      </c>
      <c r="D8">
        <v>0</v>
      </c>
      <c r="E8">
        <v>141133.4</v>
      </c>
      <c r="F8">
        <v>0</v>
      </c>
      <c r="G8">
        <v>140833.97</v>
      </c>
      <c r="H8">
        <v>1.0021261205659402</v>
      </c>
    </row>
    <row r="9" spans="1:8" x14ac:dyDescent="0.5">
      <c r="A9" s="1">
        <v>43089</v>
      </c>
      <c r="B9">
        <v>140822</v>
      </c>
      <c r="C9">
        <v>0</v>
      </c>
      <c r="D9">
        <v>0</v>
      </c>
      <c r="E9">
        <v>140822</v>
      </c>
      <c r="F9">
        <v>0</v>
      </c>
      <c r="G9">
        <v>140833.97</v>
      </c>
      <c r="H9">
        <v>0.99991500630139163</v>
      </c>
    </row>
    <row r="10" spans="1:8" x14ac:dyDescent="0.5">
      <c r="A10" s="1">
        <v>43090</v>
      </c>
      <c r="B10">
        <v>142552</v>
      </c>
      <c r="C10">
        <v>0</v>
      </c>
      <c r="D10">
        <v>0</v>
      </c>
      <c r="E10">
        <v>142552</v>
      </c>
      <c r="F10">
        <v>0</v>
      </c>
      <c r="G10">
        <v>140833.97</v>
      </c>
      <c r="H10">
        <v>1.0121989744377724</v>
      </c>
    </row>
    <row r="11" spans="1:8" x14ac:dyDescent="0.5">
      <c r="A11" s="1">
        <v>43091</v>
      </c>
      <c r="B11">
        <v>141894.6</v>
      </c>
      <c r="C11">
        <v>0</v>
      </c>
      <c r="D11">
        <v>0</v>
      </c>
      <c r="E11">
        <v>141894.6</v>
      </c>
      <c r="F11">
        <v>0</v>
      </c>
      <c r="G11">
        <v>140833.97</v>
      </c>
      <c r="H11">
        <v>1.0075310665459478</v>
      </c>
    </row>
    <row r="12" spans="1:8" x14ac:dyDescent="0.5">
      <c r="A12" s="1">
        <v>43094</v>
      </c>
      <c r="B12">
        <v>141237.19999999998</v>
      </c>
      <c r="C12">
        <v>0</v>
      </c>
      <c r="D12">
        <v>0</v>
      </c>
      <c r="E12">
        <v>141237.19999999998</v>
      </c>
      <c r="F12">
        <v>0</v>
      </c>
      <c r="G12">
        <v>140833.97</v>
      </c>
      <c r="H12">
        <v>1.0028631586541228</v>
      </c>
    </row>
    <row r="13" spans="1:8" x14ac:dyDescent="0.5">
      <c r="A13" s="1">
        <v>43095</v>
      </c>
      <c r="B13">
        <v>141652.4</v>
      </c>
      <c r="C13">
        <v>0</v>
      </c>
      <c r="D13">
        <v>0</v>
      </c>
      <c r="E13">
        <v>141652.4</v>
      </c>
      <c r="F13">
        <v>0</v>
      </c>
      <c r="G13">
        <v>140833.97</v>
      </c>
      <c r="H13">
        <v>1.0058113110068543</v>
      </c>
    </row>
    <row r="14" spans="1:8" x14ac:dyDescent="0.5">
      <c r="A14" s="1">
        <v>43096</v>
      </c>
      <c r="B14">
        <v>139299.6</v>
      </c>
      <c r="C14">
        <v>0</v>
      </c>
      <c r="D14">
        <v>0</v>
      </c>
      <c r="E14">
        <v>139299.6</v>
      </c>
      <c r="F14">
        <v>0</v>
      </c>
      <c r="G14">
        <v>140833.97</v>
      </c>
      <c r="H14">
        <v>0.9891051143413766</v>
      </c>
    </row>
    <row r="15" spans="1:8" x14ac:dyDescent="0.5">
      <c r="A15" s="1">
        <v>43097</v>
      </c>
      <c r="B15">
        <v>140579.79999999999</v>
      </c>
      <c r="C15">
        <v>0</v>
      </c>
      <c r="D15">
        <v>0</v>
      </c>
      <c r="E15">
        <v>140579.79999999999</v>
      </c>
      <c r="F15">
        <v>0</v>
      </c>
      <c r="G15">
        <v>140833.97</v>
      </c>
      <c r="H15">
        <v>0.9981952507622982</v>
      </c>
    </row>
    <row r="16" spans="1:8" x14ac:dyDescent="0.5">
      <c r="A16" s="1">
        <v>43098</v>
      </c>
      <c r="B16">
        <v>141029.6</v>
      </c>
      <c r="C16">
        <v>0</v>
      </c>
      <c r="D16">
        <v>0</v>
      </c>
      <c r="E16">
        <v>141029.6</v>
      </c>
      <c r="F16">
        <v>0</v>
      </c>
      <c r="G16">
        <v>140833.97</v>
      </c>
      <c r="H16">
        <v>1.0013890824777574</v>
      </c>
    </row>
    <row r="17" spans="1:8" x14ac:dyDescent="0.5">
      <c r="A17" s="1">
        <v>43102</v>
      </c>
      <c r="B17">
        <v>143105.60000000001</v>
      </c>
      <c r="C17">
        <v>0</v>
      </c>
      <c r="D17">
        <v>0</v>
      </c>
      <c r="E17">
        <v>143105.60000000001</v>
      </c>
      <c r="F17">
        <v>0</v>
      </c>
      <c r="G17">
        <v>140833.97</v>
      </c>
      <c r="H17">
        <v>1.0161298442414142</v>
      </c>
    </row>
    <row r="18" spans="1:8" x14ac:dyDescent="0.5">
      <c r="A18" s="1">
        <v>43103</v>
      </c>
      <c r="B18">
        <v>163825.20000000001</v>
      </c>
      <c r="C18">
        <v>40.409999999999854</v>
      </c>
      <c r="D18">
        <v>20000</v>
      </c>
      <c r="E18">
        <v>163865.61000000002</v>
      </c>
      <c r="F18">
        <v>19682.523954338616</v>
      </c>
      <c r="G18">
        <v>160516.49395433863</v>
      </c>
      <c r="H18">
        <v>1.0208646224643687</v>
      </c>
    </row>
    <row r="19" spans="1:8" x14ac:dyDescent="0.5">
      <c r="A19" s="1">
        <v>43104</v>
      </c>
      <c r="B19">
        <v>164337.40000000002</v>
      </c>
      <c r="C19">
        <v>40.409999999999854</v>
      </c>
      <c r="D19">
        <v>0</v>
      </c>
      <c r="E19">
        <v>164377.81000000003</v>
      </c>
      <c r="F19">
        <v>0</v>
      </c>
      <c r="G19">
        <v>160516.49395433863</v>
      </c>
      <c r="H19">
        <v>1.0240555718016107</v>
      </c>
    </row>
    <row r="20" spans="1:8" x14ac:dyDescent="0.5">
      <c r="A20" s="1">
        <v>43105</v>
      </c>
      <c r="B20">
        <v>164967.80000000002</v>
      </c>
      <c r="C20">
        <v>40.409999999999854</v>
      </c>
      <c r="D20">
        <v>0</v>
      </c>
      <c r="E20">
        <v>165008.21000000002</v>
      </c>
      <c r="F20">
        <v>0</v>
      </c>
      <c r="G20">
        <v>160516.49395433863</v>
      </c>
      <c r="H20">
        <v>1.0279828940628315</v>
      </c>
    </row>
    <row r="21" spans="1:8" x14ac:dyDescent="0.5">
      <c r="A21" s="1">
        <v>43108</v>
      </c>
      <c r="B21">
        <v>165637.59999999998</v>
      </c>
      <c r="C21">
        <v>40.409999999999854</v>
      </c>
      <c r="D21">
        <v>0</v>
      </c>
      <c r="E21">
        <v>165678.00999999998</v>
      </c>
      <c r="F21">
        <v>0</v>
      </c>
      <c r="G21">
        <v>160516.49395433863</v>
      </c>
      <c r="H21">
        <v>1.0321556739653783</v>
      </c>
    </row>
    <row r="22" spans="1:8" x14ac:dyDescent="0.5">
      <c r="A22" s="1">
        <v>43109</v>
      </c>
      <c r="B22">
        <v>166977.20000000001</v>
      </c>
      <c r="C22">
        <v>40.409999999999854</v>
      </c>
      <c r="D22">
        <v>0</v>
      </c>
      <c r="E22">
        <v>167017.61000000002</v>
      </c>
      <c r="F22">
        <v>0</v>
      </c>
      <c r="G22">
        <v>160516.49395433863</v>
      </c>
      <c r="H22">
        <v>1.0405012337704731</v>
      </c>
    </row>
    <row r="23" spans="1:8" x14ac:dyDescent="0.5">
      <c r="A23" s="1">
        <v>43110</v>
      </c>
      <c r="B23">
        <v>167686.40000000002</v>
      </c>
      <c r="C23">
        <v>40.409999999999854</v>
      </c>
      <c r="D23">
        <v>0</v>
      </c>
      <c r="E23">
        <v>167726.81000000003</v>
      </c>
      <c r="F23">
        <v>0</v>
      </c>
      <c r="G23">
        <v>160516.49395433863</v>
      </c>
      <c r="H23">
        <v>1.0449194713143466</v>
      </c>
    </row>
    <row r="24" spans="1:8" x14ac:dyDescent="0.5">
      <c r="A24" s="1">
        <v>43111</v>
      </c>
      <c r="B24">
        <v>167450</v>
      </c>
      <c r="C24">
        <v>40.409999999999854</v>
      </c>
      <c r="D24">
        <v>0</v>
      </c>
      <c r="E24">
        <v>167490.41</v>
      </c>
      <c r="F24">
        <v>0</v>
      </c>
      <c r="G24">
        <v>160516.49395433863</v>
      </c>
      <c r="H24">
        <v>1.0434467254663886</v>
      </c>
    </row>
    <row r="25" spans="1:8" x14ac:dyDescent="0.5">
      <c r="A25" s="1">
        <v>43112</v>
      </c>
      <c r="B25">
        <v>168356.19999999998</v>
      </c>
      <c r="C25">
        <v>40.409999999999854</v>
      </c>
      <c r="D25">
        <v>0</v>
      </c>
      <c r="E25">
        <v>168396.61</v>
      </c>
      <c r="F25">
        <v>0</v>
      </c>
      <c r="G25">
        <v>160516.49395433863</v>
      </c>
      <c r="H25">
        <v>1.0490922512168934</v>
      </c>
    </row>
    <row r="26" spans="1:8" x14ac:dyDescent="0.5">
      <c r="A26" s="1">
        <v>43115</v>
      </c>
      <c r="B26">
        <v>168041</v>
      </c>
      <c r="C26">
        <v>40.409999999999854</v>
      </c>
      <c r="D26">
        <v>0</v>
      </c>
      <c r="E26">
        <v>168081.41</v>
      </c>
      <c r="F26">
        <v>0</v>
      </c>
      <c r="G26">
        <v>160516.49395433863</v>
      </c>
      <c r="H26">
        <v>1.0471285900862832</v>
      </c>
    </row>
    <row r="27" spans="1:8" x14ac:dyDescent="0.5">
      <c r="A27" s="1">
        <v>43116</v>
      </c>
      <c r="B27">
        <v>169735.19999999998</v>
      </c>
      <c r="C27">
        <v>40.409999999999854</v>
      </c>
      <c r="D27">
        <v>0</v>
      </c>
      <c r="E27">
        <v>169775.61</v>
      </c>
      <c r="F27">
        <v>0</v>
      </c>
      <c r="G27">
        <v>160516.49395433863</v>
      </c>
      <c r="H27">
        <v>1.0576832686633142</v>
      </c>
    </row>
    <row r="28" spans="1:8" x14ac:dyDescent="0.5">
      <c r="A28" s="1">
        <v>43117</v>
      </c>
      <c r="B28">
        <v>169223</v>
      </c>
      <c r="C28">
        <v>40.409999999999854</v>
      </c>
      <c r="D28">
        <v>0</v>
      </c>
      <c r="E28">
        <v>169263.41</v>
      </c>
      <c r="F28">
        <v>0</v>
      </c>
      <c r="G28">
        <v>160516.49395433863</v>
      </c>
      <c r="H28">
        <v>1.0544923193260722</v>
      </c>
    </row>
    <row r="29" spans="1:8" x14ac:dyDescent="0.5">
      <c r="A29" s="1">
        <v>43118</v>
      </c>
      <c r="B29">
        <v>190212.00000000003</v>
      </c>
      <c r="C29">
        <v>144.04000000000087</v>
      </c>
      <c r="D29">
        <v>20000</v>
      </c>
      <c r="E29">
        <v>190356.04000000004</v>
      </c>
      <c r="F29">
        <v>18966.472902127949</v>
      </c>
      <c r="G29">
        <v>179482.96685646658</v>
      </c>
      <c r="H29">
        <v>1.0605799722055447</v>
      </c>
    </row>
    <row r="30" spans="1:8" x14ac:dyDescent="0.5">
      <c r="A30" s="1">
        <v>43119</v>
      </c>
      <c r="B30">
        <v>190740</v>
      </c>
      <c r="C30">
        <v>144.04000000000087</v>
      </c>
      <c r="D30">
        <v>0</v>
      </c>
      <c r="E30">
        <v>190884.04</v>
      </c>
      <c r="F30">
        <v>0</v>
      </c>
      <c r="G30">
        <v>179482.96685646658</v>
      </c>
      <c r="H30">
        <v>1.0635217555360055</v>
      </c>
    </row>
    <row r="31" spans="1:8" x14ac:dyDescent="0.5">
      <c r="A31" s="1">
        <v>43122</v>
      </c>
      <c r="B31">
        <v>193160</v>
      </c>
      <c r="C31">
        <v>144.04000000000087</v>
      </c>
      <c r="D31">
        <v>0</v>
      </c>
      <c r="E31">
        <v>193304.04</v>
      </c>
      <c r="F31">
        <v>0</v>
      </c>
      <c r="G31">
        <v>179482.96685646658</v>
      </c>
      <c r="H31">
        <v>1.0770049291339507</v>
      </c>
    </row>
    <row r="32" spans="1:8" x14ac:dyDescent="0.5">
      <c r="A32" s="1">
        <v>43123</v>
      </c>
      <c r="B32">
        <v>193072</v>
      </c>
      <c r="C32">
        <v>144.04000000000087</v>
      </c>
      <c r="D32">
        <v>0</v>
      </c>
      <c r="E32">
        <v>193216.04</v>
      </c>
      <c r="F32">
        <v>0</v>
      </c>
      <c r="G32">
        <v>179482.96685646658</v>
      </c>
      <c r="H32">
        <v>1.0765146319122072</v>
      </c>
    </row>
    <row r="33" spans="1:8" x14ac:dyDescent="0.5">
      <c r="A33" s="1">
        <v>43124</v>
      </c>
      <c r="B33">
        <v>193204</v>
      </c>
      <c r="C33">
        <v>144.04000000000087</v>
      </c>
      <c r="D33">
        <v>0</v>
      </c>
      <c r="E33">
        <v>193348.04</v>
      </c>
      <c r="F33">
        <v>0</v>
      </c>
      <c r="G33">
        <v>179482.96685646658</v>
      </c>
      <c r="H33">
        <v>1.0772500777448224</v>
      </c>
    </row>
    <row r="34" spans="1:8" x14ac:dyDescent="0.5">
      <c r="A34" s="1">
        <v>43125</v>
      </c>
      <c r="B34">
        <v>191972.00000000003</v>
      </c>
      <c r="C34">
        <v>2168.0400000000009</v>
      </c>
      <c r="D34">
        <v>0</v>
      </c>
      <c r="E34">
        <v>194140.04000000004</v>
      </c>
      <c r="F34">
        <v>0</v>
      </c>
      <c r="G34">
        <v>179482.96685646658</v>
      </c>
      <c r="H34">
        <v>1.0816627527405138</v>
      </c>
    </row>
    <row r="35" spans="1:8" x14ac:dyDescent="0.5">
      <c r="A35" s="1">
        <v>43126</v>
      </c>
      <c r="B35">
        <v>192940</v>
      </c>
      <c r="C35">
        <v>2168.0400000000009</v>
      </c>
      <c r="D35">
        <v>0</v>
      </c>
      <c r="E35">
        <v>195108.04</v>
      </c>
      <c r="F35">
        <v>0</v>
      </c>
      <c r="G35">
        <v>179482.96685646658</v>
      </c>
      <c r="H35">
        <v>1.0870560221796917</v>
      </c>
    </row>
    <row r="36" spans="1:8" x14ac:dyDescent="0.5">
      <c r="A36" s="1">
        <v>43129</v>
      </c>
      <c r="B36">
        <v>189287.99999999997</v>
      </c>
      <c r="C36">
        <v>2168.0400000000009</v>
      </c>
      <c r="D36">
        <v>0</v>
      </c>
      <c r="E36">
        <v>191456.03999999998</v>
      </c>
      <c r="F36">
        <v>0</v>
      </c>
      <c r="G36">
        <v>179482.96685646658</v>
      </c>
      <c r="H36">
        <v>1.0667086874773377</v>
      </c>
    </row>
    <row r="37" spans="1:8" x14ac:dyDescent="0.5">
      <c r="A37" s="1">
        <v>43130</v>
      </c>
      <c r="B37">
        <v>187352</v>
      </c>
      <c r="C37">
        <v>2168.0400000000009</v>
      </c>
      <c r="D37">
        <v>0</v>
      </c>
      <c r="E37">
        <v>189520.04</v>
      </c>
      <c r="F37">
        <v>0</v>
      </c>
      <c r="G37">
        <v>179482.96685646658</v>
      </c>
      <c r="H37">
        <v>1.0559221485989816</v>
      </c>
    </row>
    <row r="38" spans="1:8" x14ac:dyDescent="0.5">
      <c r="A38" s="1">
        <v>43131</v>
      </c>
      <c r="B38">
        <v>187924</v>
      </c>
      <c r="C38">
        <v>22168.04</v>
      </c>
      <c r="D38">
        <v>20000</v>
      </c>
      <c r="E38">
        <v>210092.04</v>
      </c>
      <c r="F38">
        <v>18940.79030971781</v>
      </c>
      <c r="G38">
        <v>198423.7571661844</v>
      </c>
      <c r="H38">
        <v>1.0588048679273983</v>
      </c>
    </row>
    <row r="39" spans="1:8" x14ac:dyDescent="0.5">
      <c r="A39" s="1">
        <v>43132</v>
      </c>
      <c r="B39">
        <v>206536.70000000004</v>
      </c>
      <c r="C39">
        <v>2093.0200000000004</v>
      </c>
      <c r="D39">
        <v>0</v>
      </c>
      <c r="E39">
        <v>208629.72000000003</v>
      </c>
      <c r="F39">
        <v>0</v>
      </c>
      <c r="G39">
        <v>198423.7571661844</v>
      </c>
      <c r="H39">
        <v>1.0514351858848632</v>
      </c>
    </row>
    <row r="40" spans="1:8" x14ac:dyDescent="0.5">
      <c r="A40" s="1">
        <v>43133</v>
      </c>
      <c r="B40">
        <v>247511.80000000002</v>
      </c>
      <c r="C40">
        <v>-2602.59</v>
      </c>
      <c r="D40">
        <v>35000</v>
      </c>
      <c r="E40">
        <v>244909.21000000002</v>
      </c>
      <c r="F40">
        <v>33287.834067056472</v>
      </c>
      <c r="G40">
        <v>231711.59123324088</v>
      </c>
      <c r="H40">
        <v>1.0569570934993684</v>
      </c>
    </row>
    <row r="41" spans="1:8" x14ac:dyDescent="0.5">
      <c r="A41" s="1">
        <v>43136</v>
      </c>
      <c r="B41">
        <v>247247.7</v>
      </c>
      <c r="C41">
        <v>-2602.59</v>
      </c>
      <c r="D41">
        <v>0</v>
      </c>
      <c r="E41">
        <v>244645.11000000002</v>
      </c>
      <c r="F41">
        <v>0</v>
      </c>
      <c r="G41">
        <v>231711.59123324088</v>
      </c>
      <c r="H41">
        <v>1.0558173145241589</v>
      </c>
    </row>
    <row r="42" spans="1:8" x14ac:dyDescent="0.5">
      <c r="A42" s="1">
        <v>43137</v>
      </c>
      <c r="B42">
        <v>239608.19999999998</v>
      </c>
      <c r="C42">
        <v>-2602.59</v>
      </c>
      <c r="D42">
        <v>0</v>
      </c>
      <c r="E42">
        <v>237005.61</v>
      </c>
      <c r="F42">
        <v>0</v>
      </c>
      <c r="G42">
        <v>231711.59123324088</v>
      </c>
      <c r="H42">
        <v>1.0228474490144523</v>
      </c>
    </row>
    <row r="43" spans="1:8" x14ac:dyDescent="0.5">
      <c r="A43" s="1">
        <v>43138</v>
      </c>
      <c r="B43">
        <v>234879.69999999998</v>
      </c>
      <c r="C43">
        <v>-2602.59</v>
      </c>
      <c r="D43">
        <v>0</v>
      </c>
      <c r="E43">
        <v>232277.11</v>
      </c>
      <c r="F43">
        <v>0</v>
      </c>
      <c r="G43">
        <v>231711.59123324088</v>
      </c>
      <c r="H43">
        <v>1.0024406149202516</v>
      </c>
    </row>
    <row r="44" spans="1:8" x14ac:dyDescent="0.5">
      <c r="A44" s="1">
        <v>43139</v>
      </c>
      <c r="B44">
        <v>233606.49999999997</v>
      </c>
      <c r="C44">
        <v>-2602.59</v>
      </c>
      <c r="D44">
        <v>0</v>
      </c>
      <c r="E44">
        <v>231003.90999999997</v>
      </c>
      <c r="F44">
        <v>0</v>
      </c>
      <c r="G44">
        <v>231711.59123324088</v>
      </c>
      <c r="H44">
        <v>0.99694585312079376</v>
      </c>
    </row>
    <row r="45" spans="1:8" x14ac:dyDescent="0.5">
      <c r="A45" s="1">
        <v>43140</v>
      </c>
      <c r="B45">
        <v>223141.7</v>
      </c>
      <c r="C45">
        <v>-2602.59</v>
      </c>
      <c r="D45">
        <v>0</v>
      </c>
      <c r="E45">
        <v>220539.11000000002</v>
      </c>
      <c r="F45">
        <v>0</v>
      </c>
      <c r="G45">
        <v>231711.59123324088</v>
      </c>
      <c r="H45">
        <v>0.95178281253096808</v>
      </c>
    </row>
    <row r="46" spans="1:8" x14ac:dyDescent="0.5">
      <c r="A46" s="1">
        <v>43143</v>
      </c>
      <c r="B46">
        <v>247002</v>
      </c>
      <c r="C46">
        <v>-2774.2400000000016</v>
      </c>
      <c r="D46">
        <v>20000</v>
      </c>
      <c r="E46">
        <v>244227.76</v>
      </c>
      <c r="F46">
        <v>21013.197272197285</v>
      </c>
      <c r="G46">
        <v>252724.78850543816</v>
      </c>
      <c r="H46">
        <v>0.96637833369774362</v>
      </c>
    </row>
    <row r="47" spans="1:8" x14ac:dyDescent="0.5">
      <c r="A47" s="1">
        <v>43144</v>
      </c>
      <c r="B47">
        <v>249768.4</v>
      </c>
      <c r="C47">
        <v>-2774.2400000000016</v>
      </c>
      <c r="D47">
        <v>0</v>
      </c>
      <c r="E47">
        <v>246994.16</v>
      </c>
      <c r="F47">
        <v>0</v>
      </c>
      <c r="G47">
        <v>252724.78850543816</v>
      </c>
      <c r="H47">
        <v>0.97732462834640044</v>
      </c>
    </row>
    <row r="48" spans="1:8" x14ac:dyDescent="0.5">
      <c r="A48" s="1">
        <v>43145</v>
      </c>
      <c r="B48">
        <v>251780.90000000002</v>
      </c>
      <c r="C48">
        <v>-2774.2400000000016</v>
      </c>
      <c r="D48">
        <v>0</v>
      </c>
      <c r="E48">
        <v>249006.66000000003</v>
      </c>
      <c r="F48">
        <v>0</v>
      </c>
      <c r="G48">
        <v>252724.78850543816</v>
      </c>
      <c r="H48">
        <v>0.98528783611838644</v>
      </c>
    </row>
    <row r="49" spans="1:8" x14ac:dyDescent="0.5">
      <c r="A49" s="1">
        <v>43153</v>
      </c>
      <c r="B49">
        <v>256994.50000000003</v>
      </c>
      <c r="C49">
        <v>-2774.2400000000016</v>
      </c>
      <c r="D49">
        <v>0</v>
      </c>
      <c r="E49">
        <v>254220.26000000004</v>
      </c>
      <c r="F49">
        <v>0</v>
      </c>
      <c r="G49">
        <v>252724.78850543816</v>
      </c>
      <c r="H49">
        <v>1.0059173914177781</v>
      </c>
    </row>
    <row r="50" spans="1:8" x14ac:dyDescent="0.5">
      <c r="A50" s="1">
        <v>43154</v>
      </c>
      <c r="B50">
        <v>258237.00000000006</v>
      </c>
      <c r="C50">
        <v>-2774.2400000000016</v>
      </c>
      <c r="D50">
        <v>0</v>
      </c>
      <c r="E50">
        <v>255462.76000000007</v>
      </c>
      <c r="F50">
        <v>0</v>
      </c>
      <c r="G50">
        <v>252724.78850543816</v>
      </c>
      <c r="H50">
        <v>1.0108338066509175</v>
      </c>
    </row>
    <row r="51" spans="1:8" x14ac:dyDescent="0.5">
      <c r="A51" s="1">
        <v>43157</v>
      </c>
      <c r="B51">
        <v>262091.9</v>
      </c>
      <c r="C51">
        <v>-2774.2400000000016</v>
      </c>
      <c r="D51">
        <v>0</v>
      </c>
      <c r="E51">
        <v>259317.66</v>
      </c>
      <c r="F51">
        <v>0</v>
      </c>
      <c r="G51">
        <v>252724.78850543816</v>
      </c>
      <c r="H51">
        <v>1.0260871580249438</v>
      </c>
    </row>
    <row r="52" spans="1:8" x14ac:dyDescent="0.5">
      <c r="A52" s="1">
        <v>43158</v>
      </c>
      <c r="B52">
        <v>258729.09999999998</v>
      </c>
      <c r="C52">
        <v>-2774.2400000000016</v>
      </c>
      <c r="D52">
        <v>0</v>
      </c>
      <c r="E52">
        <v>255954.86</v>
      </c>
      <c r="F52">
        <v>0</v>
      </c>
      <c r="G52">
        <v>252724.78850543816</v>
      </c>
      <c r="H52">
        <v>1.01278098406438</v>
      </c>
    </row>
    <row r="53" spans="1:8" x14ac:dyDescent="0.5">
      <c r="A53" s="1">
        <v>43159</v>
      </c>
      <c r="B53">
        <v>256531.8</v>
      </c>
      <c r="C53">
        <v>-2774.2400000000016</v>
      </c>
      <c r="D53">
        <v>0</v>
      </c>
      <c r="E53">
        <v>253757.56</v>
      </c>
      <c r="F53">
        <v>0</v>
      </c>
      <c r="G53">
        <v>252724.78850543816</v>
      </c>
      <c r="H53">
        <v>1.004086546083071</v>
      </c>
    </row>
    <row r="54" spans="1:8" x14ac:dyDescent="0.5">
      <c r="A54" s="1">
        <v>43160</v>
      </c>
      <c r="B54">
        <v>258643</v>
      </c>
      <c r="C54">
        <v>-2774.2400000000016</v>
      </c>
      <c r="D54">
        <v>0</v>
      </c>
      <c r="E54">
        <v>255868.76</v>
      </c>
      <c r="F54">
        <v>0</v>
      </c>
      <c r="G54">
        <v>252724.78850543816</v>
      </c>
      <c r="H54">
        <v>1.012440297262309</v>
      </c>
    </row>
    <row r="55" spans="1:8" x14ac:dyDescent="0.5">
      <c r="A55" s="1">
        <v>43161</v>
      </c>
      <c r="B55">
        <v>256992.40000000002</v>
      </c>
      <c r="C55">
        <v>-2774.2400000000016</v>
      </c>
      <c r="D55">
        <v>0</v>
      </c>
      <c r="E55">
        <v>254218.16000000003</v>
      </c>
      <c r="F55">
        <v>0</v>
      </c>
      <c r="G55">
        <v>252724.78850543816</v>
      </c>
      <c r="H55">
        <v>1.0059090819835812</v>
      </c>
    </row>
    <row r="56" spans="1:8" x14ac:dyDescent="0.5">
      <c r="A56" s="1">
        <v>43164</v>
      </c>
      <c r="B56">
        <v>256456.89999999997</v>
      </c>
      <c r="C56">
        <v>-2774.2400000000016</v>
      </c>
      <c r="D56">
        <v>0</v>
      </c>
      <c r="E56">
        <v>253682.65999999997</v>
      </c>
      <c r="F56">
        <v>0</v>
      </c>
      <c r="G56">
        <v>252724.78850543816</v>
      </c>
      <c r="H56">
        <v>1.003790176263383</v>
      </c>
    </row>
    <row r="57" spans="1:8" x14ac:dyDescent="0.5">
      <c r="A57" s="1">
        <v>43165</v>
      </c>
      <c r="B57">
        <v>260232.7</v>
      </c>
      <c r="C57">
        <v>-2774.2400000000016</v>
      </c>
      <c r="D57">
        <v>0</v>
      </c>
      <c r="E57">
        <v>257458.46000000002</v>
      </c>
      <c r="F57">
        <v>0</v>
      </c>
      <c r="G57">
        <v>252724.78850543816</v>
      </c>
      <c r="H57">
        <v>1.0187305389493282</v>
      </c>
    </row>
    <row r="58" spans="1:8" x14ac:dyDescent="0.5">
      <c r="A58" s="1">
        <v>43166</v>
      </c>
      <c r="B58">
        <v>258069.7</v>
      </c>
      <c r="C58">
        <v>-2774.2400000000016</v>
      </c>
      <c r="D58">
        <v>0</v>
      </c>
      <c r="E58">
        <v>255295.46000000002</v>
      </c>
      <c r="F58">
        <v>0</v>
      </c>
      <c r="G58">
        <v>252724.78850543816</v>
      </c>
      <c r="H58">
        <v>1.0101718217265678</v>
      </c>
    </row>
    <row r="59" spans="1:8" x14ac:dyDescent="0.5">
      <c r="A59" s="1">
        <v>43167</v>
      </c>
      <c r="B59">
        <v>260645.00000000003</v>
      </c>
      <c r="C59">
        <v>-2774.2400000000016</v>
      </c>
      <c r="D59">
        <v>0</v>
      </c>
      <c r="E59">
        <v>257870.76000000004</v>
      </c>
      <c r="F59">
        <v>0</v>
      </c>
      <c r="G59">
        <v>252724.78850543816</v>
      </c>
      <c r="H59">
        <v>1.0203619578633107</v>
      </c>
    </row>
    <row r="60" spans="1:8" x14ac:dyDescent="0.5">
      <c r="A60" s="1">
        <v>43168</v>
      </c>
      <c r="B60">
        <v>262810.10000000009</v>
      </c>
      <c r="C60">
        <v>17225.759999999998</v>
      </c>
      <c r="D60">
        <v>20000</v>
      </c>
      <c r="E60">
        <v>280035.8600000001</v>
      </c>
      <c r="F60">
        <v>19600.8875535511</v>
      </c>
      <c r="G60">
        <v>272325.67605898925</v>
      </c>
      <c r="H60">
        <v>1.0283123650057173</v>
      </c>
    </row>
    <row r="61" spans="1:8" x14ac:dyDescent="0.5">
      <c r="A61" s="1">
        <v>43171</v>
      </c>
      <c r="B61">
        <v>263904.2</v>
      </c>
      <c r="C61">
        <v>17225.759999999998</v>
      </c>
      <c r="D61">
        <v>0</v>
      </c>
      <c r="E61">
        <v>281129.96000000002</v>
      </c>
      <c r="F61">
        <v>0</v>
      </c>
      <c r="G61">
        <v>272325.67605898925</v>
      </c>
      <c r="H61">
        <v>1.0323299810301532</v>
      </c>
    </row>
    <row r="62" spans="1:8" x14ac:dyDescent="0.5">
      <c r="A62" s="1">
        <v>43172</v>
      </c>
      <c r="B62">
        <v>261337.3</v>
      </c>
      <c r="C62">
        <v>17225.759999999998</v>
      </c>
      <c r="D62">
        <v>0</v>
      </c>
      <c r="E62">
        <v>278563.06</v>
      </c>
      <c r="F62">
        <v>0</v>
      </c>
      <c r="G62">
        <v>272325.67605898925</v>
      </c>
      <c r="H62">
        <v>1.0229041346055803</v>
      </c>
    </row>
    <row r="63" spans="1:8" x14ac:dyDescent="0.5">
      <c r="A63" s="1">
        <v>43173</v>
      </c>
      <c r="B63">
        <v>260053.50000000003</v>
      </c>
      <c r="C63">
        <v>17225.759999999998</v>
      </c>
      <c r="D63">
        <v>0</v>
      </c>
      <c r="E63">
        <v>277279.26</v>
      </c>
      <c r="F63">
        <v>0</v>
      </c>
      <c r="G63">
        <v>272325.67605898925</v>
      </c>
      <c r="H63">
        <v>1.0181899261674383</v>
      </c>
    </row>
    <row r="64" spans="1:8" x14ac:dyDescent="0.5">
      <c r="A64" s="1">
        <v>43174</v>
      </c>
      <c r="B64">
        <v>301725.89999999997</v>
      </c>
      <c r="C64">
        <v>-2780.0400000000045</v>
      </c>
      <c r="D64">
        <v>20000</v>
      </c>
      <c r="E64">
        <v>298945.86</v>
      </c>
      <c r="F64">
        <v>19642.700724099541</v>
      </c>
      <c r="G64">
        <v>291968.37678308878</v>
      </c>
      <c r="H64">
        <v>1.0238980785994334</v>
      </c>
    </row>
    <row r="65" spans="1:8" x14ac:dyDescent="0.5">
      <c r="A65" s="1">
        <v>43175</v>
      </c>
      <c r="B65">
        <v>298632.59999999998</v>
      </c>
      <c r="C65">
        <v>-2780.0400000000045</v>
      </c>
      <c r="D65">
        <v>0</v>
      </c>
      <c r="E65">
        <v>295852.56</v>
      </c>
      <c r="F65">
        <v>0</v>
      </c>
      <c r="G65">
        <v>291968.37678308878</v>
      </c>
      <c r="H65">
        <v>1.0133034380630779</v>
      </c>
    </row>
    <row r="66" spans="1:8" x14ac:dyDescent="0.5">
      <c r="A66" s="1">
        <v>43178</v>
      </c>
      <c r="B66">
        <v>300191.5</v>
      </c>
      <c r="C66">
        <v>-2780.0400000000045</v>
      </c>
      <c r="D66">
        <v>0</v>
      </c>
      <c r="E66">
        <v>297411.46000000002</v>
      </c>
      <c r="F66">
        <v>0</v>
      </c>
      <c r="G66">
        <v>291968.37678308878</v>
      </c>
      <c r="H66">
        <v>1.0186427149298949</v>
      </c>
    </row>
    <row r="67" spans="1:8" x14ac:dyDescent="0.5">
      <c r="A67" s="1">
        <v>43179</v>
      </c>
      <c r="B67">
        <v>300083</v>
      </c>
      <c r="C67">
        <v>-2776.0300000000043</v>
      </c>
      <c r="D67">
        <v>0</v>
      </c>
      <c r="E67">
        <v>297306.96999999997</v>
      </c>
      <c r="F67">
        <v>0</v>
      </c>
      <c r="G67">
        <v>291968.37678308878</v>
      </c>
      <c r="H67">
        <v>1.0182848337060741</v>
      </c>
    </row>
    <row r="68" spans="1:8" x14ac:dyDescent="0.5">
      <c r="A68" s="1">
        <v>43180</v>
      </c>
      <c r="B68">
        <v>298411.40000000002</v>
      </c>
      <c r="C68">
        <v>-2776.0300000000043</v>
      </c>
      <c r="D68">
        <v>0</v>
      </c>
      <c r="E68">
        <v>295635.37</v>
      </c>
      <c r="F68">
        <v>0</v>
      </c>
      <c r="G68">
        <v>291968.37678308878</v>
      </c>
      <c r="H68">
        <v>1.0125595561317777</v>
      </c>
    </row>
    <row r="69" spans="1:8" x14ac:dyDescent="0.5">
      <c r="A69" s="1">
        <v>43181</v>
      </c>
      <c r="B69">
        <v>296111.90000000002</v>
      </c>
      <c r="C69">
        <v>-2776.0300000000043</v>
      </c>
      <c r="D69">
        <v>0</v>
      </c>
      <c r="E69">
        <v>293335.87</v>
      </c>
      <c r="F69">
        <v>0</v>
      </c>
      <c r="G69">
        <v>291968.37678308878</v>
      </c>
      <c r="H69">
        <v>1.0046837031872364</v>
      </c>
    </row>
    <row r="70" spans="1:8" x14ac:dyDescent="0.5">
      <c r="A70" s="1">
        <v>43182</v>
      </c>
      <c r="B70">
        <v>286427.40000000002</v>
      </c>
      <c r="C70">
        <v>-2776.0300000000043</v>
      </c>
      <c r="D70">
        <v>0</v>
      </c>
      <c r="E70">
        <v>283651.37</v>
      </c>
      <c r="F70">
        <v>0</v>
      </c>
      <c r="G70">
        <v>291968.37678308878</v>
      </c>
      <c r="H70">
        <v>0.97151401506311863</v>
      </c>
    </row>
    <row r="71" spans="1:8" x14ac:dyDescent="0.5">
      <c r="A71" s="1">
        <v>43185</v>
      </c>
      <c r="B71">
        <v>286049.39999999997</v>
      </c>
      <c r="C71">
        <v>-2776.0300000000043</v>
      </c>
      <c r="D71">
        <v>0</v>
      </c>
      <c r="E71">
        <v>283273.36999999994</v>
      </c>
      <c r="F71">
        <v>0</v>
      </c>
      <c r="G71">
        <v>291968.37678308878</v>
      </c>
      <c r="H71">
        <v>0.97021935430511164</v>
      </c>
    </row>
    <row r="72" spans="1:8" x14ac:dyDescent="0.5">
      <c r="A72" s="1">
        <v>43186</v>
      </c>
      <c r="B72">
        <v>289167.2</v>
      </c>
      <c r="C72">
        <v>-2776.0300000000043</v>
      </c>
      <c r="D72">
        <v>0</v>
      </c>
      <c r="E72">
        <v>286391.17</v>
      </c>
      <c r="F72">
        <v>0</v>
      </c>
      <c r="G72">
        <v>291968.37678308878</v>
      </c>
      <c r="H72">
        <v>0.98089790803874544</v>
      </c>
    </row>
    <row r="73" spans="1:8" x14ac:dyDescent="0.5">
      <c r="A73" s="1">
        <v>43187</v>
      </c>
      <c r="B73">
        <v>283681.3</v>
      </c>
      <c r="C73">
        <v>-2776.0300000000043</v>
      </c>
      <c r="D73">
        <v>0</v>
      </c>
      <c r="E73">
        <v>280905.26999999996</v>
      </c>
      <c r="F73">
        <v>0</v>
      </c>
      <c r="G73">
        <v>291968.37678308878</v>
      </c>
      <c r="H73">
        <v>0.96210854440819149</v>
      </c>
    </row>
    <row r="74" spans="1:8" x14ac:dyDescent="0.5">
      <c r="A74" s="1">
        <v>43188</v>
      </c>
      <c r="B74">
        <v>288556.09999999998</v>
      </c>
      <c r="C74">
        <v>-2776.0300000000043</v>
      </c>
      <c r="D74">
        <v>0</v>
      </c>
      <c r="E74">
        <v>285780.06999999995</v>
      </c>
      <c r="F74">
        <v>0</v>
      </c>
      <c r="G74">
        <v>291968.37678308878</v>
      </c>
      <c r="H74">
        <v>0.97880487314663434</v>
      </c>
    </row>
    <row r="75" spans="1:8" x14ac:dyDescent="0.5">
      <c r="A75" s="1">
        <v>43189</v>
      </c>
      <c r="B75">
        <v>288703.09999999998</v>
      </c>
      <c r="C75">
        <v>-2776.0300000000043</v>
      </c>
      <c r="D75">
        <v>0</v>
      </c>
      <c r="E75">
        <v>285927.06999999995</v>
      </c>
      <c r="F75">
        <v>0</v>
      </c>
      <c r="G75">
        <v>291968.37678308878</v>
      </c>
      <c r="H75">
        <v>0.97930835233030367</v>
      </c>
    </row>
    <row r="76" spans="1:8" x14ac:dyDescent="0.5">
      <c r="A76" s="1">
        <v>43192</v>
      </c>
      <c r="B76">
        <v>287818.3</v>
      </c>
      <c r="C76">
        <v>-2776.0300000000043</v>
      </c>
      <c r="D76">
        <v>0</v>
      </c>
      <c r="E76">
        <v>285042.26999999996</v>
      </c>
      <c r="F76">
        <v>0</v>
      </c>
      <c r="G76">
        <v>291968.37678308878</v>
      </c>
      <c r="H76">
        <v>0.97627788714859898</v>
      </c>
    </row>
    <row r="77" spans="1:8" x14ac:dyDescent="0.5">
      <c r="A77" s="1">
        <v>43193</v>
      </c>
      <c r="B77">
        <v>285904.5</v>
      </c>
      <c r="C77">
        <v>-2776.0300000000043</v>
      </c>
      <c r="D77">
        <v>0</v>
      </c>
      <c r="E77">
        <v>283128.46999999997</v>
      </c>
      <c r="F77">
        <v>0</v>
      </c>
      <c r="G77">
        <v>291968.37678308878</v>
      </c>
      <c r="H77">
        <v>0.96972306768120908</v>
      </c>
    </row>
    <row r="78" spans="1:8" x14ac:dyDescent="0.5">
      <c r="A78" s="1">
        <v>43194</v>
      </c>
      <c r="B78">
        <v>304949.5</v>
      </c>
      <c r="C78">
        <v>-2802.0400000000027</v>
      </c>
      <c r="D78">
        <v>20000</v>
      </c>
      <c r="E78">
        <v>302147.46000000002</v>
      </c>
      <c r="F78">
        <v>20624.444923047748</v>
      </c>
      <c r="G78">
        <v>312592.82170613651</v>
      </c>
      <c r="H78">
        <v>0.96658476784871272</v>
      </c>
    </row>
    <row r="79" spans="1:8" x14ac:dyDescent="0.5">
      <c r="A79" s="1">
        <v>43199</v>
      </c>
      <c r="B79">
        <v>305357</v>
      </c>
      <c r="C79">
        <v>-2802.0400000000027</v>
      </c>
      <c r="D79">
        <v>0</v>
      </c>
      <c r="E79">
        <v>302554.96000000002</v>
      </c>
      <c r="F79">
        <v>0</v>
      </c>
      <c r="G79">
        <v>312592.82170613651</v>
      </c>
      <c r="H79">
        <v>0.96788838063731064</v>
      </c>
    </row>
    <row r="80" spans="1:8" x14ac:dyDescent="0.5">
      <c r="A80" s="1">
        <v>43200</v>
      </c>
      <c r="B80">
        <v>310833.2</v>
      </c>
      <c r="C80">
        <v>-2802.0400000000027</v>
      </c>
      <c r="D80">
        <v>0</v>
      </c>
      <c r="E80">
        <v>308031.16000000003</v>
      </c>
      <c r="F80">
        <v>0</v>
      </c>
      <c r="G80">
        <v>312592.82170613651</v>
      </c>
      <c r="H80">
        <v>0.9854070170861926</v>
      </c>
    </row>
    <row r="81" spans="1:8" x14ac:dyDescent="0.5">
      <c r="A81" s="1">
        <v>43201</v>
      </c>
      <c r="B81">
        <v>311247</v>
      </c>
      <c r="C81">
        <v>-2802.0400000000027</v>
      </c>
      <c r="D81">
        <v>0</v>
      </c>
      <c r="E81">
        <v>308444.96000000002</v>
      </c>
      <c r="F81">
        <v>0</v>
      </c>
      <c r="G81">
        <v>312592.82170613651</v>
      </c>
      <c r="H81">
        <v>0.98673078388845459</v>
      </c>
    </row>
    <row r="82" spans="1:8" x14ac:dyDescent="0.5">
      <c r="A82" s="1">
        <v>43202</v>
      </c>
      <c r="B82">
        <v>308207.89999999997</v>
      </c>
      <c r="C82">
        <v>-2802.0400000000027</v>
      </c>
      <c r="D82">
        <v>0</v>
      </c>
      <c r="E82">
        <v>305405.86</v>
      </c>
      <c r="F82">
        <v>0</v>
      </c>
      <c r="G82">
        <v>312592.82170613651</v>
      </c>
      <c r="H82">
        <v>0.97700855167783451</v>
      </c>
    </row>
    <row r="83" spans="1:8" x14ac:dyDescent="0.5">
      <c r="A83" s="1">
        <v>43203</v>
      </c>
      <c r="B83">
        <v>306215.3</v>
      </c>
      <c r="C83">
        <v>-2802.0400000000027</v>
      </c>
      <c r="D83">
        <v>0</v>
      </c>
      <c r="E83">
        <v>303413.26</v>
      </c>
      <c r="F83">
        <v>0</v>
      </c>
      <c r="G83">
        <v>312592.82170613651</v>
      </c>
      <c r="H83">
        <v>0.97063412507032532</v>
      </c>
    </row>
    <row r="84" spans="1:8" x14ac:dyDescent="0.5">
      <c r="A84" s="1">
        <v>43206</v>
      </c>
      <c r="B84">
        <v>321673.49999999994</v>
      </c>
      <c r="C84">
        <v>-2567.970000000003</v>
      </c>
      <c r="D84">
        <v>20000</v>
      </c>
      <c r="E84">
        <v>319105.52999999991</v>
      </c>
      <c r="F84">
        <v>20605.086389839158</v>
      </c>
      <c r="G84">
        <v>333197.9080959757</v>
      </c>
      <c r="H84">
        <v>0.95770568255813726</v>
      </c>
    </row>
    <row r="85" spans="1:8" x14ac:dyDescent="0.5">
      <c r="A85" s="1">
        <v>43207</v>
      </c>
      <c r="B85">
        <v>316812</v>
      </c>
      <c r="C85">
        <v>-2567.970000000003</v>
      </c>
      <c r="D85">
        <v>0</v>
      </c>
      <c r="E85">
        <v>314244.02999999997</v>
      </c>
      <c r="F85">
        <v>0</v>
      </c>
      <c r="G85">
        <v>333197.9080959757</v>
      </c>
      <c r="H85">
        <v>0.94311525482171943</v>
      </c>
    </row>
    <row r="86" spans="1:8" x14ac:dyDescent="0.5">
      <c r="A86" s="1">
        <v>43208</v>
      </c>
      <c r="B86">
        <v>317833.19999999995</v>
      </c>
      <c r="C86">
        <v>-2567.970000000003</v>
      </c>
      <c r="D86">
        <v>0</v>
      </c>
      <c r="E86">
        <v>315265.22999999992</v>
      </c>
      <c r="F86">
        <v>0</v>
      </c>
      <c r="G86">
        <v>333197.9080959757</v>
      </c>
      <c r="H86">
        <v>0.94618009999387398</v>
      </c>
    </row>
    <row r="87" spans="1:8" x14ac:dyDescent="0.5">
      <c r="A87" s="1">
        <v>43209</v>
      </c>
      <c r="B87">
        <v>321949.5</v>
      </c>
      <c r="C87">
        <v>-2567.970000000003</v>
      </c>
      <c r="D87">
        <v>0</v>
      </c>
      <c r="E87">
        <v>319381.52999999997</v>
      </c>
      <c r="F87">
        <v>0</v>
      </c>
      <c r="G87">
        <v>333197.9080959757</v>
      </c>
      <c r="H87">
        <v>0.95853401909115232</v>
      </c>
    </row>
    <row r="88" spans="1:8" x14ac:dyDescent="0.5">
      <c r="A88" s="1">
        <v>43210</v>
      </c>
      <c r="B88">
        <v>316878.3</v>
      </c>
      <c r="C88">
        <v>-2567.970000000003</v>
      </c>
      <c r="D88">
        <v>0</v>
      </c>
      <c r="E88">
        <v>314310.32999999996</v>
      </c>
      <c r="F88">
        <v>0</v>
      </c>
      <c r="G88">
        <v>333197.9080959757</v>
      </c>
      <c r="H88">
        <v>0.94331423566280226</v>
      </c>
    </row>
    <row r="89" spans="1:8" x14ac:dyDescent="0.5">
      <c r="A89" s="1">
        <v>43213</v>
      </c>
      <c r="B89">
        <v>317641.8</v>
      </c>
      <c r="C89">
        <v>-2567.970000000003</v>
      </c>
      <c r="D89">
        <v>0</v>
      </c>
      <c r="E89">
        <v>315073.82999999996</v>
      </c>
      <c r="F89">
        <v>0</v>
      </c>
      <c r="G89">
        <v>333197.9080959757</v>
      </c>
      <c r="H89">
        <v>0.94560566661554424</v>
      </c>
    </row>
    <row r="90" spans="1:8" x14ac:dyDescent="0.5">
      <c r="A90" s="1">
        <v>43214</v>
      </c>
      <c r="B90">
        <v>324314.7</v>
      </c>
      <c r="C90">
        <v>-2567.970000000003</v>
      </c>
      <c r="D90">
        <v>0</v>
      </c>
      <c r="E90">
        <v>321746.73</v>
      </c>
      <c r="F90">
        <v>0</v>
      </c>
      <c r="G90">
        <v>333197.9080959757</v>
      </c>
      <c r="H90">
        <v>0.96563250303277037</v>
      </c>
    </row>
    <row r="91" spans="1:8" x14ac:dyDescent="0.5">
      <c r="A91" s="1">
        <v>43215</v>
      </c>
      <c r="B91">
        <v>322648.2</v>
      </c>
      <c r="C91">
        <v>-2567.970000000003</v>
      </c>
      <c r="D91">
        <v>0</v>
      </c>
      <c r="E91">
        <v>320080.23</v>
      </c>
      <c r="F91">
        <v>0</v>
      </c>
      <c r="G91">
        <v>333197.9080959757</v>
      </c>
      <c r="H91">
        <v>0.96063097103179518</v>
      </c>
    </row>
    <row r="92" spans="1:8" x14ac:dyDescent="0.5">
      <c r="A92" s="1">
        <v>43216</v>
      </c>
      <c r="B92">
        <v>316311.00000000006</v>
      </c>
      <c r="C92">
        <v>-2567.970000000003</v>
      </c>
      <c r="D92">
        <v>0</v>
      </c>
      <c r="E92">
        <v>313743.03000000003</v>
      </c>
      <c r="F92">
        <v>0</v>
      </c>
      <c r="G92">
        <v>333197.9080959757</v>
      </c>
      <c r="H92">
        <v>0.94161164394113839</v>
      </c>
    </row>
    <row r="93" spans="1:8" x14ac:dyDescent="0.5">
      <c r="A93" s="1">
        <v>43217</v>
      </c>
      <c r="B93">
        <v>317073.89999999997</v>
      </c>
      <c r="C93">
        <v>-2567.970000000003</v>
      </c>
      <c r="D93">
        <v>0</v>
      </c>
      <c r="E93">
        <v>314505.92999999993</v>
      </c>
      <c r="F93">
        <v>0</v>
      </c>
      <c r="G93">
        <v>333197.9080959757</v>
      </c>
      <c r="H93">
        <v>0.94390127416228664</v>
      </c>
    </row>
    <row r="94" spans="1:8" x14ac:dyDescent="0.5">
      <c r="A94" s="1">
        <v>43222</v>
      </c>
      <c r="B94">
        <v>317862.3</v>
      </c>
      <c r="C94">
        <v>-2567.970000000003</v>
      </c>
      <c r="D94">
        <v>0</v>
      </c>
      <c r="E94">
        <v>315294.32999999996</v>
      </c>
      <c r="F94">
        <v>0</v>
      </c>
      <c r="G94">
        <v>333197.9080959757</v>
      </c>
      <c r="H94">
        <v>0.94626743547615932</v>
      </c>
    </row>
    <row r="95" spans="1:8" x14ac:dyDescent="0.5">
      <c r="A95" s="1">
        <v>43223</v>
      </c>
      <c r="B95">
        <v>319870.50000000006</v>
      </c>
      <c r="C95">
        <v>-2567.970000000003</v>
      </c>
      <c r="D95">
        <v>0</v>
      </c>
      <c r="E95">
        <v>317302.53000000003</v>
      </c>
      <c r="F95">
        <v>0</v>
      </c>
      <c r="G95">
        <v>333197.9080959757</v>
      </c>
      <c r="H95">
        <v>0.95229448411963891</v>
      </c>
    </row>
    <row r="96" spans="1:8" x14ac:dyDescent="0.5">
      <c r="A96" s="1">
        <v>43224</v>
      </c>
      <c r="B96">
        <v>318511.5</v>
      </c>
      <c r="C96">
        <v>-2567.970000000003</v>
      </c>
      <c r="D96">
        <v>0</v>
      </c>
      <c r="E96">
        <v>315943.52999999997</v>
      </c>
      <c r="F96">
        <v>0</v>
      </c>
      <c r="G96">
        <v>333197.9080959757</v>
      </c>
      <c r="H96">
        <v>0.94821582706033769</v>
      </c>
    </row>
    <row r="97" spans="1:8" x14ac:dyDescent="0.5">
      <c r="A97" s="1">
        <v>43227</v>
      </c>
      <c r="B97">
        <v>323787.60000000003</v>
      </c>
      <c r="C97">
        <v>-2567.970000000003</v>
      </c>
      <c r="D97">
        <v>0</v>
      </c>
      <c r="E97">
        <v>321219.63</v>
      </c>
      <c r="F97">
        <v>0</v>
      </c>
      <c r="G97">
        <v>333197.9080959757</v>
      </c>
      <c r="H97">
        <v>0.96405056032787151</v>
      </c>
    </row>
    <row r="98" spans="1:8" x14ac:dyDescent="0.5">
      <c r="A98" s="1">
        <v>43228</v>
      </c>
      <c r="B98">
        <v>327681.60000000003</v>
      </c>
      <c r="C98">
        <v>-2567.970000000003</v>
      </c>
      <c r="D98">
        <v>0</v>
      </c>
      <c r="E98">
        <v>325113.63</v>
      </c>
      <c r="F98">
        <v>0</v>
      </c>
      <c r="G98">
        <v>333197.9080959757</v>
      </c>
      <c r="H98">
        <v>0.97573730836975403</v>
      </c>
    </row>
    <row r="99" spans="1:8" x14ac:dyDescent="0.5">
      <c r="A99" s="1">
        <v>43229</v>
      </c>
      <c r="B99">
        <v>326709</v>
      </c>
      <c r="C99">
        <v>-2567.970000000003</v>
      </c>
      <c r="D99">
        <v>0</v>
      </c>
      <c r="E99">
        <v>324141.02999999997</v>
      </c>
      <c r="F99">
        <v>0</v>
      </c>
      <c r="G99">
        <v>333197.9080959757</v>
      </c>
      <c r="H99">
        <v>0.97281832245667355</v>
      </c>
    </row>
    <row r="100" spans="1:8" x14ac:dyDescent="0.5">
      <c r="A100" s="1">
        <v>43230</v>
      </c>
      <c r="B100">
        <v>328799.40000000002</v>
      </c>
      <c r="C100">
        <v>-2567.970000000003</v>
      </c>
      <c r="D100">
        <v>0</v>
      </c>
      <c r="E100">
        <v>326231.43</v>
      </c>
      <c r="F100">
        <v>0</v>
      </c>
      <c r="G100">
        <v>333197.9080959757</v>
      </c>
      <c r="H100">
        <v>0.97909207132846388</v>
      </c>
    </row>
    <row r="101" spans="1:8" x14ac:dyDescent="0.5">
      <c r="A101" s="1">
        <v>43231</v>
      </c>
      <c r="B101">
        <v>346919.7</v>
      </c>
      <c r="C101">
        <v>-2770.8300000000036</v>
      </c>
      <c r="D101">
        <v>20000</v>
      </c>
      <c r="E101">
        <v>344148.87</v>
      </c>
      <c r="F101">
        <v>20427.088100982528</v>
      </c>
      <c r="G101">
        <v>353624.99619695824</v>
      </c>
      <c r="H101">
        <v>0.97320289487771294</v>
      </c>
    </row>
    <row r="102" spans="1:8" x14ac:dyDescent="0.5">
      <c r="A102" s="1">
        <v>43234</v>
      </c>
      <c r="B102">
        <v>349426.89999999997</v>
      </c>
      <c r="C102">
        <v>-2770.8300000000036</v>
      </c>
      <c r="D102">
        <v>0</v>
      </c>
      <c r="E102">
        <v>346656.06999999995</v>
      </c>
      <c r="F102">
        <v>0</v>
      </c>
      <c r="G102">
        <v>353624.99619695824</v>
      </c>
      <c r="H102">
        <v>0.98029289141914389</v>
      </c>
    </row>
    <row r="103" spans="1:8" x14ac:dyDescent="0.5">
      <c r="A103" s="1">
        <v>43235</v>
      </c>
      <c r="B103">
        <v>350994.39999999997</v>
      </c>
      <c r="C103">
        <v>-2770.8300000000036</v>
      </c>
      <c r="D103">
        <v>0</v>
      </c>
      <c r="E103">
        <v>348223.56999999995</v>
      </c>
      <c r="F103">
        <v>0</v>
      </c>
      <c r="G103">
        <v>353624.99619695824</v>
      </c>
      <c r="H103">
        <v>0.9847255531847362</v>
      </c>
    </row>
    <row r="104" spans="1:8" x14ac:dyDescent="0.5">
      <c r="A104" s="1">
        <v>43236</v>
      </c>
      <c r="B104">
        <v>348356</v>
      </c>
      <c r="C104">
        <v>-2770.8300000000036</v>
      </c>
      <c r="D104">
        <v>0</v>
      </c>
      <c r="E104">
        <v>345585.17</v>
      </c>
      <c r="F104">
        <v>0</v>
      </c>
      <c r="G104">
        <v>353624.99619695824</v>
      </c>
      <c r="H104">
        <v>0.97726454214656167</v>
      </c>
    </row>
    <row r="105" spans="1:8" x14ac:dyDescent="0.5">
      <c r="A105" s="1">
        <v>43237</v>
      </c>
      <c r="B105">
        <v>345487.10000000003</v>
      </c>
      <c r="C105">
        <v>-2770.8300000000036</v>
      </c>
      <c r="D105">
        <v>0</v>
      </c>
      <c r="E105">
        <v>342716.27</v>
      </c>
      <c r="F105">
        <v>0</v>
      </c>
      <c r="G105">
        <v>353624.99619695824</v>
      </c>
      <c r="H105">
        <v>0.96915171067012928</v>
      </c>
    </row>
    <row r="106" spans="1:8" x14ac:dyDescent="0.5">
      <c r="A106" s="1">
        <v>43238</v>
      </c>
      <c r="B106">
        <v>349069.7</v>
      </c>
      <c r="C106">
        <v>-2770.8300000000036</v>
      </c>
      <c r="D106">
        <v>0</v>
      </c>
      <c r="E106">
        <v>346298.87</v>
      </c>
      <c r="F106">
        <v>0</v>
      </c>
      <c r="G106">
        <v>353624.99619695824</v>
      </c>
      <c r="H106">
        <v>0.97928278182892414</v>
      </c>
    </row>
    <row r="107" spans="1:8" x14ac:dyDescent="0.5">
      <c r="A107" s="1">
        <v>43241</v>
      </c>
      <c r="B107">
        <v>351023.7</v>
      </c>
      <c r="C107">
        <v>-2770.8300000000036</v>
      </c>
      <c r="D107">
        <v>0</v>
      </c>
      <c r="E107">
        <v>348252.87</v>
      </c>
      <c r="F107">
        <v>0</v>
      </c>
      <c r="G107">
        <v>353624.99619695824</v>
      </c>
      <c r="H107">
        <v>0.98480840931853664</v>
      </c>
    </row>
    <row r="108" spans="1:8" x14ac:dyDescent="0.5">
      <c r="A108" s="1">
        <v>43242</v>
      </c>
      <c r="B108">
        <v>349918.69999999995</v>
      </c>
      <c r="C108">
        <v>-2770.8300000000036</v>
      </c>
      <c r="D108">
        <v>0</v>
      </c>
      <c r="E108">
        <v>347147.86999999994</v>
      </c>
      <c r="F108">
        <v>0</v>
      </c>
      <c r="G108">
        <v>353624.99619695824</v>
      </c>
      <c r="H108">
        <v>0.98168363021105343</v>
      </c>
    </row>
    <row r="109" spans="1:8" x14ac:dyDescent="0.5">
      <c r="A109" s="1">
        <v>43243</v>
      </c>
      <c r="B109">
        <v>365364.10000000009</v>
      </c>
      <c r="C109">
        <v>-2848.850000000004</v>
      </c>
      <c r="D109">
        <v>20000</v>
      </c>
      <c r="E109">
        <v>362515.25000000012</v>
      </c>
      <c r="F109">
        <v>20373.162375846252</v>
      </c>
      <c r="G109">
        <v>373998.15857280447</v>
      </c>
      <c r="H109">
        <v>0.96929688473166897</v>
      </c>
    </row>
    <row r="110" spans="1:8" x14ac:dyDescent="0.5">
      <c r="A110" s="1">
        <v>43244</v>
      </c>
      <c r="B110">
        <v>362618.6</v>
      </c>
      <c r="C110">
        <v>-2848.850000000004</v>
      </c>
      <c r="D110">
        <v>0</v>
      </c>
      <c r="E110">
        <v>359769.75</v>
      </c>
      <c r="F110">
        <v>0</v>
      </c>
      <c r="G110">
        <v>373998.15857280447</v>
      </c>
      <c r="H110">
        <v>0.96195593949686597</v>
      </c>
    </row>
    <row r="111" spans="1:8" x14ac:dyDescent="0.5">
      <c r="A111" s="1">
        <v>43245</v>
      </c>
      <c r="B111">
        <v>361328.9</v>
      </c>
      <c r="C111">
        <v>-2848.850000000004</v>
      </c>
      <c r="D111">
        <v>0</v>
      </c>
      <c r="E111">
        <v>358480.05000000005</v>
      </c>
      <c r="F111">
        <v>0</v>
      </c>
      <c r="G111">
        <v>373998.15857280447</v>
      </c>
      <c r="H111">
        <v>0.95850752679632889</v>
      </c>
    </row>
    <row r="112" spans="1:8" x14ac:dyDescent="0.5">
      <c r="A112" s="1">
        <v>43248</v>
      </c>
      <c r="B112">
        <v>363281.3</v>
      </c>
      <c r="C112">
        <v>-2848.850000000004</v>
      </c>
      <c r="D112">
        <v>0</v>
      </c>
      <c r="E112">
        <v>360432.45</v>
      </c>
      <c r="F112">
        <v>0</v>
      </c>
      <c r="G112">
        <v>373998.15857280447</v>
      </c>
      <c r="H112">
        <v>0.96372787335485322</v>
      </c>
    </row>
    <row r="113" spans="1:8" x14ac:dyDescent="0.5">
      <c r="A113" s="1">
        <v>43249</v>
      </c>
      <c r="B113">
        <v>359747.9</v>
      </c>
      <c r="C113">
        <v>-2848.850000000004</v>
      </c>
      <c r="D113">
        <v>0</v>
      </c>
      <c r="E113">
        <v>356899.05000000005</v>
      </c>
      <c r="F113">
        <v>0</v>
      </c>
      <c r="G113">
        <v>373998.15857280447</v>
      </c>
      <c r="H113">
        <v>0.95428023325554467</v>
      </c>
    </row>
    <row r="114" spans="1:8" x14ac:dyDescent="0.5">
      <c r="A114" s="1">
        <v>43250</v>
      </c>
      <c r="B114">
        <v>352775.6</v>
      </c>
      <c r="C114">
        <v>-2848.850000000004</v>
      </c>
      <c r="D114">
        <v>0</v>
      </c>
      <c r="E114">
        <v>349926.75</v>
      </c>
      <c r="F114">
        <v>0</v>
      </c>
      <c r="G114">
        <v>373998.15857280447</v>
      </c>
      <c r="H114">
        <v>0.93563762809779016</v>
      </c>
    </row>
    <row r="115" spans="1:8" x14ac:dyDescent="0.5">
      <c r="A115" s="1">
        <v>43251</v>
      </c>
      <c r="B115">
        <v>359644.9</v>
      </c>
      <c r="C115">
        <v>-2848.850000000004</v>
      </c>
      <c r="D115">
        <v>0</v>
      </c>
      <c r="E115">
        <v>356796.05000000005</v>
      </c>
      <c r="F115">
        <v>0</v>
      </c>
      <c r="G115">
        <v>373998.15857280447</v>
      </c>
      <c r="H115">
        <v>0.95400483083005405</v>
      </c>
    </row>
    <row r="116" spans="1:8" x14ac:dyDescent="0.5">
      <c r="A116" s="1">
        <v>43252</v>
      </c>
      <c r="B116">
        <v>357000.6</v>
      </c>
      <c r="C116">
        <v>-2848.850000000004</v>
      </c>
      <c r="D116">
        <v>0</v>
      </c>
      <c r="E116">
        <v>354151.75</v>
      </c>
      <c r="F116">
        <v>0</v>
      </c>
      <c r="G116">
        <v>373998.15857280447</v>
      </c>
      <c r="H116">
        <v>0.9469344751628207</v>
      </c>
    </row>
    <row r="117" spans="1:8" x14ac:dyDescent="0.5">
      <c r="A117" s="1">
        <v>43255</v>
      </c>
      <c r="B117">
        <v>360120.79999999993</v>
      </c>
      <c r="C117">
        <v>-2848.850000000004</v>
      </c>
      <c r="D117">
        <v>0</v>
      </c>
      <c r="E117">
        <v>357271.94999999995</v>
      </c>
      <c r="F117">
        <v>0</v>
      </c>
      <c r="G117">
        <v>373998.15857280447</v>
      </c>
      <c r="H117">
        <v>0.95527729698821895</v>
      </c>
    </row>
    <row r="118" spans="1:8" x14ac:dyDescent="0.5">
      <c r="A118" s="1">
        <v>43256</v>
      </c>
      <c r="B118">
        <v>383466.6</v>
      </c>
      <c r="C118">
        <v>-2776.0300000000043</v>
      </c>
      <c r="D118">
        <v>20000</v>
      </c>
      <c r="E118">
        <v>380690.56999999995</v>
      </c>
      <c r="F118">
        <v>20936.329234511948</v>
      </c>
      <c r="G118">
        <v>394934.48780731641</v>
      </c>
      <c r="H118">
        <v>0.96393346682281666</v>
      </c>
    </row>
    <row r="119" spans="1:8" x14ac:dyDescent="0.5">
      <c r="A119" s="1">
        <v>43257</v>
      </c>
      <c r="B119">
        <v>382800.89999999997</v>
      </c>
      <c r="C119">
        <v>-2776.0300000000043</v>
      </c>
      <c r="D119">
        <v>0</v>
      </c>
      <c r="E119">
        <v>380024.86999999994</v>
      </c>
      <c r="F119">
        <v>0</v>
      </c>
      <c r="G119">
        <v>394934.48780731641</v>
      </c>
      <c r="H119">
        <v>0.96224787080486451</v>
      </c>
    </row>
    <row r="120" spans="1:8" x14ac:dyDescent="0.5">
      <c r="A120" s="1">
        <v>43258</v>
      </c>
      <c r="B120">
        <v>382503.30000000005</v>
      </c>
      <c r="C120">
        <v>-2776.0300000000043</v>
      </c>
      <c r="D120">
        <v>0</v>
      </c>
      <c r="E120">
        <v>379727.27</v>
      </c>
      <c r="F120">
        <v>0</v>
      </c>
      <c r="G120">
        <v>394934.48780731641</v>
      </c>
      <c r="H120">
        <v>0.96149432810553681</v>
      </c>
    </row>
    <row r="121" spans="1:8" x14ac:dyDescent="0.5">
      <c r="A121" s="1">
        <v>43259</v>
      </c>
      <c r="B121">
        <v>377462.39999999997</v>
      </c>
      <c r="C121">
        <v>-2776.0300000000043</v>
      </c>
      <c r="D121">
        <v>0</v>
      </c>
      <c r="E121">
        <v>374686.36999999994</v>
      </c>
      <c r="F121">
        <v>0</v>
      </c>
      <c r="G121">
        <v>394934.48780731641</v>
      </c>
      <c r="H121">
        <v>0.94873043901601406</v>
      </c>
    </row>
    <row r="122" spans="1:8" x14ac:dyDescent="0.5">
      <c r="A122" s="1">
        <v>43262</v>
      </c>
      <c r="B122">
        <v>378126.29999999993</v>
      </c>
      <c r="C122">
        <v>-2776.0300000000043</v>
      </c>
      <c r="D122">
        <v>0</v>
      </c>
      <c r="E122">
        <v>375350.2699999999</v>
      </c>
      <c r="F122">
        <v>0</v>
      </c>
      <c r="G122">
        <v>394934.48780731641</v>
      </c>
      <c r="H122">
        <v>0.9504114773160266</v>
      </c>
    </row>
    <row r="123" spans="1:8" x14ac:dyDescent="0.5">
      <c r="A123" s="1">
        <v>43263</v>
      </c>
      <c r="B123">
        <v>381843.6</v>
      </c>
      <c r="C123">
        <v>-2776.0300000000043</v>
      </c>
      <c r="D123">
        <v>0</v>
      </c>
      <c r="E123">
        <v>379067.56999999995</v>
      </c>
      <c r="F123">
        <v>0</v>
      </c>
      <c r="G123">
        <v>394934.48780731641</v>
      </c>
      <c r="H123">
        <v>0.95982392448071607</v>
      </c>
    </row>
    <row r="124" spans="1:8" x14ac:dyDescent="0.5">
      <c r="A124" s="1">
        <v>43264</v>
      </c>
      <c r="B124">
        <v>377809.80000000005</v>
      </c>
      <c r="C124">
        <v>-2776.0300000000043</v>
      </c>
      <c r="D124">
        <v>0</v>
      </c>
      <c r="E124">
        <v>375033.77</v>
      </c>
      <c r="F124">
        <v>0</v>
      </c>
      <c r="G124">
        <v>394934.48780731641</v>
      </c>
      <c r="H124">
        <v>0.94961007857833446</v>
      </c>
    </row>
    <row r="125" spans="1:8" x14ac:dyDescent="0.5">
      <c r="A125" s="1">
        <v>43265</v>
      </c>
      <c r="B125">
        <v>376849.80000000005</v>
      </c>
      <c r="C125">
        <v>-2776.0300000000043</v>
      </c>
      <c r="D125">
        <v>0</v>
      </c>
      <c r="E125">
        <v>374073.77</v>
      </c>
      <c r="F125">
        <v>0</v>
      </c>
      <c r="G125">
        <v>394934.48780731641</v>
      </c>
      <c r="H125">
        <v>0.94717929567727677</v>
      </c>
    </row>
    <row r="126" spans="1:8" x14ac:dyDescent="0.5">
      <c r="A126" s="1">
        <v>43266</v>
      </c>
      <c r="B126">
        <v>375650.1</v>
      </c>
      <c r="C126">
        <v>-2776.0300000000043</v>
      </c>
      <c r="D126">
        <v>0</v>
      </c>
      <c r="E126">
        <v>372874.06999999995</v>
      </c>
      <c r="F126">
        <v>0</v>
      </c>
      <c r="G126">
        <v>394934.48780731641</v>
      </c>
      <c r="H126">
        <v>0.94414157667061105</v>
      </c>
    </row>
    <row r="127" spans="1:8" x14ac:dyDescent="0.5">
      <c r="A127" s="1">
        <v>43270</v>
      </c>
      <c r="B127">
        <v>361670.7</v>
      </c>
      <c r="C127">
        <v>-2776.0300000000043</v>
      </c>
      <c r="D127">
        <v>0</v>
      </c>
      <c r="E127">
        <v>358894.67</v>
      </c>
      <c r="F127">
        <v>0</v>
      </c>
      <c r="G127">
        <v>394934.48780731641</v>
      </c>
      <c r="H127">
        <v>0.90874481991327183</v>
      </c>
    </row>
    <row r="128" spans="1:8" x14ac:dyDescent="0.5">
      <c r="A128" s="1">
        <v>43271</v>
      </c>
      <c r="B128">
        <v>361973.1</v>
      </c>
      <c r="C128">
        <v>-2773.7000000000044</v>
      </c>
      <c r="D128">
        <v>0</v>
      </c>
      <c r="E128">
        <v>359199.39999999997</v>
      </c>
      <c r="F128">
        <v>0</v>
      </c>
      <c r="G128">
        <v>394934.48780731641</v>
      </c>
      <c r="H128">
        <v>0.90951641623977098</v>
      </c>
    </row>
    <row r="129" spans="1:8" x14ac:dyDescent="0.5">
      <c r="A129" s="1">
        <v>43272</v>
      </c>
      <c r="B129">
        <v>358671</v>
      </c>
      <c r="C129">
        <v>-2773.7000000000044</v>
      </c>
      <c r="D129">
        <v>0</v>
      </c>
      <c r="E129">
        <v>355897.3</v>
      </c>
      <c r="F129">
        <v>0</v>
      </c>
      <c r="G129">
        <v>394934.48780731641</v>
      </c>
      <c r="H129">
        <v>0.90115528267978917</v>
      </c>
    </row>
    <row r="130" spans="1:8" x14ac:dyDescent="0.5">
      <c r="A130" s="1">
        <v>43273</v>
      </c>
      <c r="B130">
        <v>360547.2</v>
      </c>
      <c r="C130">
        <v>-2773.7000000000044</v>
      </c>
      <c r="D130">
        <v>0</v>
      </c>
      <c r="E130">
        <v>357773.5</v>
      </c>
      <c r="F130">
        <v>0</v>
      </c>
      <c r="G130">
        <v>394934.48780731641</v>
      </c>
      <c r="H130">
        <v>0.90590594401204383</v>
      </c>
    </row>
    <row r="131" spans="1:8" x14ac:dyDescent="0.5">
      <c r="A131" s="1">
        <v>43276</v>
      </c>
      <c r="B131">
        <v>355657.5</v>
      </c>
      <c r="C131">
        <v>-2773.7000000000044</v>
      </c>
      <c r="D131">
        <v>0</v>
      </c>
      <c r="E131">
        <v>352883.8</v>
      </c>
      <c r="F131">
        <v>0</v>
      </c>
      <c r="G131">
        <v>394934.48780731641</v>
      </c>
      <c r="H131">
        <v>0.89352490322943778</v>
      </c>
    </row>
    <row r="132" spans="1:8" x14ac:dyDescent="0.5">
      <c r="A132" s="1">
        <v>43277</v>
      </c>
      <c r="B132">
        <v>392929.1</v>
      </c>
      <c r="C132">
        <v>-2866.820000000007</v>
      </c>
      <c r="D132">
        <v>40000</v>
      </c>
      <c r="E132">
        <v>390062.27999999997</v>
      </c>
      <c r="F132">
        <v>44766.51949534849</v>
      </c>
      <c r="G132">
        <v>439701.00730266492</v>
      </c>
      <c r="H132">
        <v>0.8871079973021383</v>
      </c>
    </row>
    <row r="133" spans="1:8" x14ac:dyDescent="0.5">
      <c r="A133" s="1">
        <v>43278</v>
      </c>
      <c r="B133">
        <v>383978.9</v>
      </c>
      <c r="C133">
        <v>-2866.820000000007</v>
      </c>
      <c r="D133">
        <v>0</v>
      </c>
      <c r="E133">
        <v>381112.08</v>
      </c>
      <c r="F133">
        <v>0</v>
      </c>
      <c r="G133">
        <v>439701.00730266492</v>
      </c>
      <c r="H133">
        <v>0.86675280172297708</v>
      </c>
    </row>
    <row r="134" spans="1:8" x14ac:dyDescent="0.5">
      <c r="A134" s="1">
        <v>43279</v>
      </c>
      <c r="B134">
        <v>381706.9</v>
      </c>
      <c r="C134">
        <v>-2866.820000000007</v>
      </c>
      <c r="D134">
        <v>0</v>
      </c>
      <c r="E134">
        <v>378840.08</v>
      </c>
      <c r="F134">
        <v>0</v>
      </c>
      <c r="G134">
        <v>439701.00730266492</v>
      </c>
      <c r="H134">
        <v>0.86158565413344224</v>
      </c>
    </row>
    <row r="135" spans="1:8" x14ac:dyDescent="0.5">
      <c r="A135" s="1">
        <v>43280</v>
      </c>
      <c r="B135">
        <v>392082.3</v>
      </c>
      <c r="C135">
        <v>-2866.820000000007</v>
      </c>
      <c r="D135">
        <v>0</v>
      </c>
      <c r="E135">
        <v>389215.48</v>
      </c>
      <c r="F135">
        <v>0</v>
      </c>
      <c r="G135">
        <v>439701.00730266492</v>
      </c>
      <c r="H135">
        <v>0.88518214317413746</v>
      </c>
    </row>
    <row r="136" spans="1:8" x14ac:dyDescent="0.5">
      <c r="A136" s="1">
        <v>43283</v>
      </c>
      <c r="B136">
        <v>382027.6</v>
      </c>
      <c r="C136">
        <v>-2866.820000000007</v>
      </c>
      <c r="D136">
        <v>0</v>
      </c>
      <c r="E136">
        <v>379160.77999999997</v>
      </c>
      <c r="F136">
        <v>0</v>
      </c>
      <c r="G136">
        <v>439701.00730266492</v>
      </c>
      <c r="H136">
        <v>0.86231501339046845</v>
      </c>
    </row>
    <row r="137" spans="1:8" x14ac:dyDescent="0.5">
      <c r="A137" s="1">
        <v>43284</v>
      </c>
      <c r="B137">
        <v>381073.7</v>
      </c>
      <c r="C137">
        <v>-2866.820000000007</v>
      </c>
      <c r="D137">
        <v>0</v>
      </c>
      <c r="E137">
        <v>378206.88</v>
      </c>
      <c r="F137">
        <v>0</v>
      </c>
      <c r="G137">
        <v>439701.00730266492</v>
      </c>
      <c r="H137">
        <v>0.86014558465558422</v>
      </c>
    </row>
    <row r="138" spans="1:8" x14ac:dyDescent="0.5">
      <c r="A138" s="1">
        <v>43285</v>
      </c>
      <c r="B138">
        <v>376965.19999999995</v>
      </c>
      <c r="C138">
        <v>-2866.820000000007</v>
      </c>
      <c r="D138">
        <v>0</v>
      </c>
      <c r="E138">
        <v>374098.37999999995</v>
      </c>
      <c r="F138">
        <v>0</v>
      </c>
      <c r="G138">
        <v>439701.00730266492</v>
      </c>
      <c r="H138">
        <v>0.85080173524026548</v>
      </c>
    </row>
    <row r="139" spans="1:8" x14ac:dyDescent="0.5">
      <c r="A139" s="1">
        <v>43286</v>
      </c>
      <c r="B139">
        <v>373230</v>
      </c>
      <c r="C139">
        <v>-2866.820000000007</v>
      </c>
      <c r="D139">
        <v>0</v>
      </c>
      <c r="E139">
        <v>370363.18</v>
      </c>
      <c r="F139">
        <v>0</v>
      </c>
      <c r="G139">
        <v>439701.00730266492</v>
      </c>
      <c r="H139">
        <v>0.84230687182634367</v>
      </c>
    </row>
    <row r="140" spans="1:8" x14ac:dyDescent="0.5">
      <c r="A140" s="1">
        <v>43287</v>
      </c>
      <c r="B140">
        <v>376171.6</v>
      </c>
      <c r="C140">
        <v>-2866.820000000007</v>
      </c>
      <c r="D140">
        <v>0</v>
      </c>
      <c r="E140">
        <v>373304.77999999997</v>
      </c>
      <c r="F140">
        <v>0</v>
      </c>
      <c r="G140">
        <v>439701.00730266492</v>
      </c>
      <c r="H140">
        <v>0.84899687242025901</v>
      </c>
    </row>
    <row r="141" spans="1:8" x14ac:dyDescent="0.5">
      <c r="A141" s="1">
        <v>43290</v>
      </c>
      <c r="B141">
        <v>387027.4</v>
      </c>
      <c r="C141">
        <v>-2866.820000000007</v>
      </c>
      <c r="D141">
        <v>0</v>
      </c>
      <c r="E141">
        <v>384160.58</v>
      </c>
      <c r="F141">
        <v>0</v>
      </c>
      <c r="G141">
        <v>439701.00730266492</v>
      </c>
      <c r="H141">
        <v>0.87368592206923446</v>
      </c>
    </row>
    <row r="142" spans="1:8" x14ac:dyDescent="0.5">
      <c r="A142" s="1">
        <v>43291</v>
      </c>
      <c r="B142">
        <v>388119.1</v>
      </c>
      <c r="C142">
        <v>-2866.820000000007</v>
      </c>
      <c r="D142">
        <v>0</v>
      </c>
      <c r="E142">
        <v>385252.27999999997</v>
      </c>
      <c r="F142">
        <v>0</v>
      </c>
      <c r="G142">
        <v>439701.00730266492</v>
      </c>
      <c r="H142">
        <v>0.87616874558309676</v>
      </c>
    </row>
    <row r="143" spans="1:8" x14ac:dyDescent="0.5">
      <c r="A143" s="1">
        <v>43292</v>
      </c>
      <c r="B143">
        <v>381612.2</v>
      </c>
      <c r="C143">
        <v>-2866.820000000007</v>
      </c>
      <c r="D143">
        <v>0</v>
      </c>
      <c r="E143">
        <v>378745.38</v>
      </c>
      <c r="F143">
        <v>0</v>
      </c>
      <c r="G143">
        <v>439701.00730266492</v>
      </c>
      <c r="H143">
        <v>0.86137028050812137</v>
      </c>
    </row>
    <row r="144" spans="1:8" x14ac:dyDescent="0.5">
      <c r="A144" s="1">
        <v>43293</v>
      </c>
      <c r="B144">
        <v>390978</v>
      </c>
      <c r="C144">
        <v>-2866.820000000007</v>
      </c>
      <c r="D144">
        <v>0</v>
      </c>
      <c r="E144">
        <v>388111.18</v>
      </c>
      <c r="F144">
        <v>0</v>
      </c>
      <c r="G144">
        <v>439701.00730266492</v>
      </c>
      <c r="H144">
        <v>0.88267066382417125</v>
      </c>
    </row>
    <row r="145" spans="1:8" x14ac:dyDescent="0.5">
      <c r="A145" s="1">
        <v>43294</v>
      </c>
      <c r="B145">
        <v>391672.2</v>
      </c>
      <c r="C145">
        <v>-2866.820000000007</v>
      </c>
      <c r="D145">
        <v>0</v>
      </c>
      <c r="E145">
        <v>388805.38</v>
      </c>
      <c r="F145">
        <v>0</v>
      </c>
      <c r="G145">
        <v>439701.00730266492</v>
      </c>
      <c r="H145">
        <v>0.88424946393713566</v>
      </c>
    </row>
    <row r="146" spans="1:8" x14ac:dyDescent="0.5">
      <c r="A146" s="1">
        <v>43297</v>
      </c>
      <c r="B146">
        <v>390194.99999999994</v>
      </c>
      <c r="C146">
        <v>-2866.820000000007</v>
      </c>
      <c r="D146">
        <v>0</v>
      </c>
      <c r="E146">
        <v>387328.17999999993</v>
      </c>
      <c r="F146">
        <v>0</v>
      </c>
      <c r="G146">
        <v>439701.00730266492</v>
      </c>
      <c r="H146">
        <v>0.88088990829485514</v>
      </c>
    </row>
    <row r="147" spans="1:8" x14ac:dyDescent="0.5">
      <c r="A147" s="1">
        <v>43298</v>
      </c>
      <c r="B147">
        <v>387853.3</v>
      </c>
      <c r="C147">
        <v>-2866.820000000007</v>
      </c>
      <c r="D147">
        <v>0</v>
      </c>
      <c r="E147">
        <v>384986.48</v>
      </c>
      <c r="F147">
        <v>0</v>
      </c>
      <c r="G147">
        <v>439701.00730266492</v>
      </c>
      <c r="H147">
        <v>0.87556424389766607</v>
      </c>
    </row>
    <row r="148" spans="1:8" x14ac:dyDescent="0.5">
      <c r="A148" s="1">
        <v>43299</v>
      </c>
      <c r="B148">
        <v>386073.50000000006</v>
      </c>
      <c r="C148">
        <v>-2866.820000000007</v>
      </c>
      <c r="D148">
        <v>0</v>
      </c>
      <c r="E148">
        <v>383206.68000000005</v>
      </c>
      <c r="F148">
        <v>0</v>
      </c>
      <c r="G148">
        <v>439701.00730266492</v>
      </c>
      <c r="H148">
        <v>0.87151649333435022</v>
      </c>
    </row>
    <row r="149" spans="1:8" x14ac:dyDescent="0.5">
      <c r="A149" s="1">
        <v>43300</v>
      </c>
      <c r="B149">
        <v>405838.80000000005</v>
      </c>
      <c r="C149">
        <v>-2822.8100000000086</v>
      </c>
      <c r="D149">
        <v>20000</v>
      </c>
      <c r="E149">
        <v>403015.99000000005</v>
      </c>
      <c r="F149">
        <v>22948.504305961727</v>
      </c>
      <c r="G149">
        <v>462649.51160862664</v>
      </c>
      <c r="H149">
        <v>0.87110432387298631</v>
      </c>
    </row>
    <row r="150" spans="1:8" x14ac:dyDescent="0.5">
      <c r="A150" s="1">
        <v>43301</v>
      </c>
      <c r="B150">
        <v>413409.8</v>
      </c>
      <c r="C150">
        <v>-2702.8100000000086</v>
      </c>
      <c r="D150">
        <v>0</v>
      </c>
      <c r="E150">
        <v>410706.99</v>
      </c>
      <c r="F150">
        <v>0</v>
      </c>
      <c r="G150">
        <v>462649.51160862664</v>
      </c>
      <c r="H150">
        <v>0.88772813910897008</v>
      </c>
    </row>
    <row r="151" spans="1:8" x14ac:dyDescent="0.5">
      <c r="A151" s="1">
        <v>43304</v>
      </c>
      <c r="B151">
        <v>416122.19999999995</v>
      </c>
      <c r="C151">
        <v>-2447.8100000000086</v>
      </c>
      <c r="D151">
        <v>0</v>
      </c>
      <c r="E151">
        <v>413674.38999999996</v>
      </c>
      <c r="F151">
        <v>0</v>
      </c>
      <c r="G151">
        <v>462649.51160862664</v>
      </c>
      <c r="H151">
        <v>0.89414206568955235</v>
      </c>
    </row>
    <row r="152" spans="1:8" x14ac:dyDescent="0.5">
      <c r="A152" s="1">
        <v>43305</v>
      </c>
      <c r="B152">
        <v>423750.3</v>
      </c>
      <c r="C152">
        <v>-2447.8100000000086</v>
      </c>
      <c r="D152">
        <v>0</v>
      </c>
      <c r="E152">
        <v>421302.49</v>
      </c>
      <c r="F152">
        <v>0</v>
      </c>
      <c r="G152">
        <v>462649.51160862664</v>
      </c>
      <c r="H152">
        <v>0.91062992487582328</v>
      </c>
    </row>
    <row r="153" spans="1:8" x14ac:dyDescent="0.5">
      <c r="A153" s="1">
        <v>43306</v>
      </c>
      <c r="B153">
        <v>423649.89999999997</v>
      </c>
      <c r="C153">
        <v>-2447.8100000000086</v>
      </c>
      <c r="D153">
        <v>0</v>
      </c>
      <c r="E153">
        <v>421202.08999999997</v>
      </c>
      <c r="F153">
        <v>0</v>
      </c>
      <c r="G153">
        <v>462649.51160862664</v>
      </c>
      <c r="H153">
        <v>0.91041291394750534</v>
      </c>
    </row>
    <row r="154" spans="1:8" x14ac:dyDescent="0.5">
      <c r="A154" s="1">
        <v>43307</v>
      </c>
      <c r="B154">
        <v>418427.10000000003</v>
      </c>
      <c r="C154">
        <v>-2447.8100000000086</v>
      </c>
      <c r="D154">
        <v>0</v>
      </c>
      <c r="E154">
        <v>415979.29000000004</v>
      </c>
      <c r="F154">
        <v>0</v>
      </c>
      <c r="G154">
        <v>462649.51160862664</v>
      </c>
      <c r="H154">
        <v>0.89912402274811698</v>
      </c>
    </row>
    <row r="155" spans="1:8" x14ac:dyDescent="0.5">
      <c r="A155" s="1">
        <v>43308</v>
      </c>
      <c r="B155">
        <v>417284.1</v>
      </c>
      <c r="C155">
        <v>-2447.8100000000086</v>
      </c>
      <c r="D155">
        <v>0</v>
      </c>
      <c r="E155">
        <v>414836.29</v>
      </c>
      <c r="F155">
        <v>0</v>
      </c>
      <c r="G155">
        <v>462649.51160862664</v>
      </c>
      <c r="H155">
        <v>0.89665347004824303</v>
      </c>
    </row>
    <row r="156" spans="1:8" x14ac:dyDescent="0.5">
      <c r="A156" s="1">
        <v>43311</v>
      </c>
      <c r="B156">
        <v>414620.89999999997</v>
      </c>
      <c r="C156">
        <v>-2447.8100000000086</v>
      </c>
      <c r="D156">
        <v>0</v>
      </c>
      <c r="E156">
        <v>412173.08999999997</v>
      </c>
      <c r="F156">
        <v>0</v>
      </c>
      <c r="G156">
        <v>462649.51160862664</v>
      </c>
      <c r="H156">
        <v>0.89089706064290275</v>
      </c>
    </row>
    <row r="157" spans="1:8" x14ac:dyDescent="0.5">
      <c r="A157" s="1">
        <v>43312</v>
      </c>
      <c r="B157">
        <v>416083.6</v>
      </c>
      <c r="C157">
        <v>-2447.8100000000086</v>
      </c>
      <c r="D157">
        <v>0</v>
      </c>
      <c r="E157">
        <v>413635.79</v>
      </c>
      <c r="F157">
        <v>0</v>
      </c>
      <c r="G157">
        <v>462649.51160862664</v>
      </c>
      <c r="H157">
        <v>0.89405863320117518</v>
      </c>
    </row>
    <row r="158" spans="1:8" x14ac:dyDescent="0.5">
      <c r="A158" s="1">
        <v>43313</v>
      </c>
      <c r="B158">
        <v>407005.8</v>
      </c>
      <c r="C158">
        <v>-2447.8100000000086</v>
      </c>
      <c r="D158">
        <v>0</v>
      </c>
      <c r="E158">
        <v>404557.99</v>
      </c>
      <c r="F158">
        <v>0</v>
      </c>
      <c r="G158">
        <v>462649.51160862664</v>
      </c>
      <c r="H158">
        <v>0.87443730048121493</v>
      </c>
    </row>
    <row r="159" spans="1:8" x14ac:dyDescent="0.5">
      <c r="A159" s="1">
        <v>43314</v>
      </c>
      <c r="B159">
        <v>397895.69999999995</v>
      </c>
      <c r="C159">
        <v>-2447.8100000000086</v>
      </c>
      <c r="D159">
        <v>0</v>
      </c>
      <c r="E159">
        <v>395447.88999999996</v>
      </c>
      <c r="F159">
        <v>0</v>
      </c>
      <c r="G159">
        <v>462649.51160862664</v>
      </c>
      <c r="H159">
        <v>0.85474615249248298</v>
      </c>
    </row>
    <row r="160" spans="1:8" x14ac:dyDescent="0.5">
      <c r="A160" s="1">
        <v>43315</v>
      </c>
      <c r="B160">
        <v>392452.8</v>
      </c>
      <c r="C160">
        <v>-2447.8100000000086</v>
      </c>
      <c r="D160">
        <v>0</v>
      </c>
      <c r="E160">
        <v>390004.99</v>
      </c>
      <c r="F160">
        <v>0</v>
      </c>
      <c r="G160">
        <v>462649.51160862664</v>
      </c>
      <c r="H160">
        <v>0.84298152319227027</v>
      </c>
    </row>
    <row r="161" spans="1:8" x14ac:dyDescent="0.5">
      <c r="A161" s="1">
        <v>43318</v>
      </c>
      <c r="B161">
        <v>427577.69999999995</v>
      </c>
      <c r="C161">
        <v>-2102.9100000000071</v>
      </c>
      <c r="D161">
        <v>40000</v>
      </c>
      <c r="E161">
        <v>425474.78999999992</v>
      </c>
      <c r="F161">
        <v>47450.624835197792</v>
      </c>
      <c r="G161">
        <v>510100.13644382445</v>
      </c>
      <c r="H161">
        <v>0.83410052184304007</v>
      </c>
    </row>
    <row r="162" spans="1:8" x14ac:dyDescent="0.5">
      <c r="A162" s="1">
        <v>43319</v>
      </c>
      <c r="B162">
        <v>439267.19999999995</v>
      </c>
      <c r="C162">
        <v>-2102.9100000000071</v>
      </c>
      <c r="D162">
        <v>0</v>
      </c>
      <c r="E162">
        <v>437164.28999999992</v>
      </c>
      <c r="F162">
        <v>0</v>
      </c>
      <c r="G162">
        <v>510100.13644382445</v>
      </c>
      <c r="H162">
        <v>0.85701661059669865</v>
      </c>
    </row>
    <row r="163" spans="1:8" x14ac:dyDescent="0.5">
      <c r="A163" s="1">
        <v>43320</v>
      </c>
      <c r="B163">
        <v>432995.1</v>
      </c>
      <c r="C163">
        <v>-2102.9100000000071</v>
      </c>
      <c r="D163">
        <v>0</v>
      </c>
      <c r="E163">
        <v>430892.18999999994</v>
      </c>
      <c r="F163">
        <v>0</v>
      </c>
      <c r="G163">
        <v>510100.13644382445</v>
      </c>
      <c r="H163">
        <v>0.84472078953747276</v>
      </c>
    </row>
    <row r="164" spans="1:8" x14ac:dyDescent="0.5">
      <c r="A164" s="1">
        <v>43321</v>
      </c>
      <c r="B164">
        <v>443251.20000000001</v>
      </c>
      <c r="C164">
        <v>-2102.9100000000071</v>
      </c>
      <c r="D164">
        <v>0</v>
      </c>
      <c r="E164">
        <v>441148.29</v>
      </c>
      <c r="F164">
        <v>0</v>
      </c>
      <c r="G164">
        <v>510100.13644382445</v>
      </c>
      <c r="H164">
        <v>0.86482684179517388</v>
      </c>
    </row>
    <row r="165" spans="1:8" x14ac:dyDescent="0.5">
      <c r="A165" s="1">
        <v>43322</v>
      </c>
      <c r="B165">
        <v>443961.59999999998</v>
      </c>
      <c r="C165">
        <v>-2102.9100000000071</v>
      </c>
      <c r="D165">
        <v>0</v>
      </c>
      <c r="E165">
        <v>441858.68999999994</v>
      </c>
      <c r="F165">
        <v>0</v>
      </c>
      <c r="G165">
        <v>510100.13644382445</v>
      </c>
      <c r="H165">
        <v>0.86621950952695015</v>
      </c>
    </row>
    <row r="166" spans="1:8" x14ac:dyDescent="0.5">
      <c r="A166" s="1">
        <v>43325</v>
      </c>
      <c r="B166">
        <v>463180.39999999997</v>
      </c>
      <c r="C166">
        <v>-2818.6200000000063</v>
      </c>
      <c r="D166">
        <v>20000</v>
      </c>
      <c r="E166">
        <v>460361.77999999997</v>
      </c>
      <c r="F166">
        <v>23088.835774343355</v>
      </c>
      <c r="G166">
        <v>533188.97221816785</v>
      </c>
      <c r="H166">
        <v>0.86341204336017519</v>
      </c>
    </row>
    <row r="167" spans="1:8" x14ac:dyDescent="0.5">
      <c r="A167" s="1">
        <v>43326</v>
      </c>
      <c r="B167">
        <v>461163.8</v>
      </c>
      <c r="C167">
        <v>-2818.6200000000063</v>
      </c>
      <c r="D167">
        <v>0</v>
      </c>
      <c r="E167">
        <v>458345.18</v>
      </c>
      <c r="F167">
        <v>0</v>
      </c>
      <c r="G167">
        <v>533188.97221816785</v>
      </c>
      <c r="H167">
        <v>0.85962989461915651</v>
      </c>
    </row>
    <row r="168" spans="1:8" x14ac:dyDescent="0.5">
      <c r="A168" s="1">
        <v>43327</v>
      </c>
      <c r="B168">
        <v>450410.19999999995</v>
      </c>
      <c r="C168">
        <v>-2818.6200000000063</v>
      </c>
      <c r="D168">
        <v>0</v>
      </c>
      <c r="E168">
        <v>447591.57999999996</v>
      </c>
      <c r="F168">
        <v>0</v>
      </c>
      <c r="G168">
        <v>533188.97221816785</v>
      </c>
      <c r="H168">
        <v>0.83946143547930785</v>
      </c>
    </row>
    <row r="169" spans="1:8" x14ac:dyDescent="0.5">
      <c r="A169" s="1">
        <v>43328</v>
      </c>
      <c r="B169">
        <v>448497.8</v>
      </c>
      <c r="C169">
        <v>-2818.6200000000063</v>
      </c>
      <c r="D169">
        <v>0</v>
      </c>
      <c r="E169">
        <v>445679.18</v>
      </c>
      <c r="F169">
        <v>0</v>
      </c>
      <c r="G169">
        <v>533188.97221816785</v>
      </c>
      <c r="H169">
        <v>0.83587471463614404</v>
      </c>
    </row>
    <row r="170" spans="1:8" x14ac:dyDescent="0.5">
      <c r="A170" s="1">
        <v>43329</v>
      </c>
      <c r="B170">
        <v>441722</v>
      </c>
      <c r="C170">
        <v>-2818.6200000000063</v>
      </c>
      <c r="D170">
        <v>0</v>
      </c>
      <c r="E170">
        <v>438903.38</v>
      </c>
      <c r="F170">
        <v>0</v>
      </c>
      <c r="G170">
        <v>533188.97221816785</v>
      </c>
      <c r="H170">
        <v>0.82316664985413746</v>
      </c>
    </row>
    <row r="171" spans="1:8" x14ac:dyDescent="0.5">
      <c r="A171" s="1">
        <v>43332</v>
      </c>
      <c r="B171">
        <v>446230.6</v>
      </c>
      <c r="C171">
        <v>-2857.7800000000061</v>
      </c>
      <c r="D171">
        <v>0</v>
      </c>
      <c r="E171">
        <v>443372.81999999995</v>
      </c>
      <c r="F171">
        <v>0</v>
      </c>
      <c r="G171">
        <v>533188.97221816785</v>
      </c>
      <c r="H171">
        <v>0.83154911879644555</v>
      </c>
    </row>
    <row r="172" spans="1:8" x14ac:dyDescent="0.5">
      <c r="A172" s="1">
        <v>43333</v>
      </c>
      <c r="B172">
        <v>453283.5</v>
      </c>
      <c r="C172">
        <v>-2857.7800000000061</v>
      </c>
      <c r="D172">
        <v>0</v>
      </c>
      <c r="E172">
        <v>450425.72</v>
      </c>
      <c r="F172">
        <v>0</v>
      </c>
      <c r="G172">
        <v>533188.97221816785</v>
      </c>
      <c r="H172">
        <v>0.8447768867501948</v>
      </c>
    </row>
    <row r="173" spans="1:8" x14ac:dyDescent="0.5">
      <c r="A173" s="1">
        <v>43334</v>
      </c>
      <c r="B173">
        <v>452335.1</v>
      </c>
      <c r="C173">
        <v>-2857.7800000000061</v>
      </c>
      <c r="D173">
        <v>0</v>
      </c>
      <c r="E173">
        <v>449477.31999999995</v>
      </c>
      <c r="F173">
        <v>0</v>
      </c>
      <c r="G173">
        <v>533188.97221816785</v>
      </c>
      <c r="H173">
        <v>0.8429981552883371</v>
      </c>
    </row>
    <row r="174" spans="1:8" x14ac:dyDescent="0.5">
      <c r="A174" s="1">
        <v>43335</v>
      </c>
      <c r="B174">
        <v>453712.8</v>
      </c>
      <c r="C174">
        <v>-2857.7800000000061</v>
      </c>
      <c r="D174">
        <v>0</v>
      </c>
      <c r="E174">
        <v>450855.01999999996</v>
      </c>
      <c r="F174">
        <v>0</v>
      </c>
      <c r="G174">
        <v>533188.97221816785</v>
      </c>
      <c r="H174">
        <v>0.84558204218732635</v>
      </c>
    </row>
    <row r="175" spans="1:8" x14ac:dyDescent="0.5">
      <c r="A175" s="1">
        <v>43336</v>
      </c>
      <c r="B175">
        <v>454156.39999999997</v>
      </c>
      <c r="C175">
        <v>-2857.7800000000061</v>
      </c>
      <c r="D175">
        <v>0</v>
      </c>
      <c r="E175">
        <v>451298.61999999994</v>
      </c>
      <c r="F175">
        <v>0</v>
      </c>
      <c r="G175">
        <v>533188.97221816785</v>
      </c>
      <c r="H175">
        <v>0.84641401738395217</v>
      </c>
    </row>
    <row r="176" spans="1:8" x14ac:dyDescent="0.5">
      <c r="A176" s="1">
        <v>43339</v>
      </c>
      <c r="B176">
        <v>465142.10000000003</v>
      </c>
      <c r="C176">
        <v>-2857.7800000000061</v>
      </c>
      <c r="D176">
        <v>0</v>
      </c>
      <c r="E176">
        <v>462284.32</v>
      </c>
      <c r="F176">
        <v>0</v>
      </c>
      <c r="G176">
        <v>533188.97221816785</v>
      </c>
      <c r="H176">
        <v>0.86701778185098055</v>
      </c>
    </row>
    <row r="177" spans="1:8" x14ac:dyDescent="0.5">
      <c r="A177" s="1">
        <v>43340</v>
      </c>
      <c r="B177">
        <v>464157.3</v>
      </c>
      <c r="C177">
        <v>-2907.7800000000061</v>
      </c>
      <c r="D177">
        <v>-50</v>
      </c>
      <c r="E177">
        <v>461249.51999999996</v>
      </c>
      <c r="F177">
        <v>-57.66894410545526</v>
      </c>
      <c r="G177">
        <v>533131.30327406235</v>
      </c>
      <c r="H177">
        <v>0.86517058211997222</v>
      </c>
    </row>
    <row r="178" spans="1:8" x14ac:dyDescent="0.5">
      <c r="A178" s="1">
        <v>43341</v>
      </c>
      <c r="B178">
        <v>462493.5</v>
      </c>
      <c r="C178">
        <v>-2907.7800000000061</v>
      </c>
      <c r="D178">
        <v>0</v>
      </c>
      <c r="E178">
        <v>459585.72</v>
      </c>
      <c r="F178">
        <v>0</v>
      </c>
      <c r="G178">
        <v>533131.30327406235</v>
      </c>
      <c r="H178">
        <v>0.86204977493835999</v>
      </c>
    </row>
    <row r="179" spans="1:8" x14ac:dyDescent="0.5">
      <c r="A179" s="1">
        <v>43342</v>
      </c>
      <c r="B179">
        <v>458036.4</v>
      </c>
      <c r="C179">
        <v>-2907.7800000000061</v>
      </c>
      <c r="D179">
        <v>0</v>
      </c>
      <c r="E179">
        <v>455128.62</v>
      </c>
      <c r="F179">
        <v>0</v>
      </c>
      <c r="G179">
        <v>533131.30327406235</v>
      </c>
      <c r="H179">
        <v>0.85368954553027965</v>
      </c>
    </row>
    <row r="180" spans="1:8" x14ac:dyDescent="0.5">
      <c r="A180" s="1">
        <v>43343</v>
      </c>
      <c r="B180">
        <v>454523.5</v>
      </c>
      <c r="C180">
        <v>-2907.7800000000061</v>
      </c>
      <c r="D180">
        <v>0</v>
      </c>
      <c r="E180">
        <v>451615.72</v>
      </c>
      <c r="F180">
        <v>0</v>
      </c>
      <c r="G180">
        <v>533131.30327406235</v>
      </c>
      <c r="H180">
        <v>0.84710036200564587</v>
      </c>
    </row>
    <row r="181" spans="1:8" x14ac:dyDescent="0.5">
      <c r="A181" s="1">
        <v>43346</v>
      </c>
      <c r="B181">
        <v>493374.9</v>
      </c>
      <c r="C181">
        <v>-2530.1600000000071</v>
      </c>
      <c r="D181">
        <v>40000</v>
      </c>
      <c r="E181">
        <v>490844.74</v>
      </c>
      <c r="F181">
        <v>47219.906629827885</v>
      </c>
      <c r="G181">
        <v>580351.20990389027</v>
      </c>
      <c r="H181">
        <v>0.84577189057861513</v>
      </c>
    </row>
    <row r="182" spans="1:8" x14ac:dyDescent="0.5">
      <c r="A182" s="1">
        <v>43347</v>
      </c>
      <c r="B182">
        <v>498841.00000000006</v>
      </c>
      <c r="C182">
        <v>-2530.1600000000071</v>
      </c>
      <c r="D182">
        <v>0</v>
      </c>
      <c r="E182">
        <v>496310.84</v>
      </c>
      <c r="F182">
        <v>0</v>
      </c>
      <c r="G182">
        <v>580351.20990389027</v>
      </c>
      <c r="H182">
        <v>0.85519049763365218</v>
      </c>
    </row>
    <row r="183" spans="1:8" x14ac:dyDescent="0.5">
      <c r="A183" s="1">
        <v>43348</v>
      </c>
      <c r="B183">
        <v>509542.5</v>
      </c>
      <c r="C183">
        <v>-2899.070000000007</v>
      </c>
      <c r="D183">
        <v>20000</v>
      </c>
      <c r="E183">
        <v>506643.43</v>
      </c>
      <c r="F183">
        <v>23386.602231129596</v>
      </c>
      <c r="G183">
        <v>603737.81213501981</v>
      </c>
      <c r="H183">
        <v>0.83917790109640233</v>
      </c>
    </row>
    <row r="184" spans="1:8" x14ac:dyDescent="0.5">
      <c r="A184" s="1">
        <v>43349</v>
      </c>
      <c r="B184">
        <v>506105.8</v>
      </c>
      <c r="C184">
        <v>-2891.6400000000067</v>
      </c>
      <c r="D184">
        <v>0</v>
      </c>
      <c r="E184">
        <v>503214.16</v>
      </c>
      <c r="F184">
        <v>0</v>
      </c>
      <c r="G184">
        <v>603737.81213501981</v>
      </c>
      <c r="H184">
        <v>0.83349783612271289</v>
      </c>
    </row>
    <row r="185" spans="1:8" x14ac:dyDescent="0.5">
      <c r="A185" s="1">
        <v>43350</v>
      </c>
      <c r="B185">
        <v>507963.5</v>
      </c>
      <c r="C185">
        <v>-2891.6400000000067</v>
      </c>
      <c r="D185">
        <v>0</v>
      </c>
      <c r="E185">
        <v>505071.86</v>
      </c>
      <c r="F185">
        <v>0</v>
      </c>
      <c r="G185">
        <v>603737.81213501981</v>
      </c>
      <c r="H185">
        <v>0.83657483405569077</v>
      </c>
    </row>
    <row r="186" spans="1:8" x14ac:dyDescent="0.5">
      <c r="A186" s="1">
        <v>43353</v>
      </c>
      <c r="B186">
        <v>500875.9</v>
      </c>
      <c r="C186">
        <v>-2891.6400000000067</v>
      </c>
      <c r="D186">
        <v>0</v>
      </c>
      <c r="E186">
        <v>497984.26</v>
      </c>
      <c r="F186">
        <v>0</v>
      </c>
      <c r="G186">
        <v>603737.81213501981</v>
      </c>
      <c r="H186">
        <v>0.82483530100418978</v>
      </c>
    </row>
    <row r="187" spans="1:8" x14ac:dyDescent="0.5">
      <c r="A187" s="1">
        <v>43354</v>
      </c>
      <c r="B187">
        <v>500284.6</v>
      </c>
      <c r="C187">
        <v>-2891.6400000000067</v>
      </c>
      <c r="D187">
        <v>0</v>
      </c>
      <c r="E187">
        <v>497392.95999999996</v>
      </c>
      <c r="F187">
        <v>0</v>
      </c>
      <c r="G187">
        <v>603737.81213501981</v>
      </c>
      <c r="H187">
        <v>0.82385590235114026</v>
      </c>
    </row>
    <row r="188" spans="1:8" x14ac:dyDescent="0.5">
      <c r="A188" s="1">
        <v>43355</v>
      </c>
      <c r="B188">
        <v>498253.99999999994</v>
      </c>
      <c r="C188">
        <v>-2891.6400000000067</v>
      </c>
      <c r="D188">
        <v>0</v>
      </c>
      <c r="E188">
        <v>495362.35999999993</v>
      </c>
      <c r="F188">
        <v>0</v>
      </c>
      <c r="G188">
        <v>603737.81213501981</v>
      </c>
      <c r="H188">
        <v>0.82049252182538002</v>
      </c>
    </row>
    <row r="189" spans="1:8" x14ac:dyDescent="0.5">
      <c r="A189" s="1">
        <v>43356</v>
      </c>
      <c r="B189">
        <v>503553.9</v>
      </c>
      <c r="C189">
        <v>-2891.6400000000067</v>
      </c>
      <c r="D189">
        <v>0</v>
      </c>
      <c r="E189">
        <v>500662.26</v>
      </c>
      <c r="F189">
        <v>0</v>
      </c>
      <c r="G189">
        <v>603737.81213501981</v>
      </c>
      <c r="H189">
        <v>0.82927100131345099</v>
      </c>
    </row>
    <row r="190" spans="1:8" x14ac:dyDescent="0.5">
      <c r="A190" s="1">
        <v>43357</v>
      </c>
      <c r="B190">
        <v>501792.19999999995</v>
      </c>
      <c r="C190">
        <v>-2905.4000000000087</v>
      </c>
      <c r="D190">
        <v>0</v>
      </c>
      <c r="E190">
        <v>498886.79999999993</v>
      </c>
      <c r="F190">
        <v>0</v>
      </c>
      <c r="G190">
        <v>603737.81213501981</v>
      </c>
      <c r="H190">
        <v>0.82633022145121005</v>
      </c>
    </row>
    <row r="191" spans="1:8" x14ac:dyDescent="0.5">
      <c r="A191" s="1">
        <v>43360</v>
      </c>
      <c r="B191">
        <v>497296</v>
      </c>
      <c r="C191">
        <v>-2905.4000000000087</v>
      </c>
      <c r="D191">
        <v>0</v>
      </c>
      <c r="E191">
        <v>494390.6</v>
      </c>
      <c r="F191">
        <v>0</v>
      </c>
      <c r="G191">
        <v>603737.81213501981</v>
      </c>
      <c r="H191">
        <v>0.81888294896035863</v>
      </c>
    </row>
    <row r="192" spans="1:8" x14ac:dyDescent="0.5">
      <c r="A192" s="1">
        <v>43361</v>
      </c>
      <c r="B192">
        <v>505945.2</v>
      </c>
      <c r="C192">
        <v>-2905.4000000000087</v>
      </c>
      <c r="D192">
        <v>0</v>
      </c>
      <c r="E192">
        <v>503039.8</v>
      </c>
      <c r="F192">
        <v>0</v>
      </c>
      <c r="G192">
        <v>603737.81213501981</v>
      </c>
      <c r="H192">
        <v>0.83320903526165135</v>
      </c>
    </row>
    <row r="193" spans="1:8" x14ac:dyDescent="0.5">
      <c r="A193" s="1">
        <v>43362</v>
      </c>
      <c r="B193">
        <v>512456.5</v>
      </c>
      <c r="C193">
        <v>-2905.4000000000087</v>
      </c>
      <c r="D193">
        <v>0</v>
      </c>
      <c r="E193">
        <v>509551.1</v>
      </c>
      <c r="F193">
        <v>0</v>
      </c>
      <c r="G193">
        <v>603737.81213501981</v>
      </c>
      <c r="H193">
        <v>0.84399401488214898</v>
      </c>
    </row>
    <row r="194" spans="1:8" x14ac:dyDescent="0.5">
      <c r="A194" s="1">
        <v>43363</v>
      </c>
      <c r="B194">
        <v>511020.60000000003</v>
      </c>
      <c r="C194">
        <v>-2903.4700000000089</v>
      </c>
      <c r="D194">
        <v>0</v>
      </c>
      <c r="E194">
        <v>508117.13</v>
      </c>
      <c r="F194">
        <v>0</v>
      </c>
      <c r="G194">
        <v>603737.81213501981</v>
      </c>
      <c r="H194">
        <v>0.84161886134500519</v>
      </c>
    </row>
    <row r="195" spans="1:8" x14ac:dyDescent="0.5">
      <c r="A195" s="1">
        <v>43364</v>
      </c>
      <c r="B195">
        <v>524159.4</v>
      </c>
      <c r="C195">
        <v>-2903.4700000000089</v>
      </c>
      <c r="D195">
        <v>0</v>
      </c>
      <c r="E195">
        <v>521255.93</v>
      </c>
      <c r="F195">
        <v>0</v>
      </c>
      <c r="G195">
        <v>603737.81213501981</v>
      </c>
      <c r="H195">
        <v>0.86338128823944926</v>
      </c>
    </row>
    <row r="196" spans="1:8" x14ac:dyDescent="0.5">
      <c r="A196" s="1">
        <v>43368</v>
      </c>
      <c r="B196">
        <v>520461.2</v>
      </c>
      <c r="C196">
        <v>-2903.4700000000089</v>
      </c>
      <c r="D196">
        <v>0</v>
      </c>
      <c r="E196">
        <v>517557.73</v>
      </c>
      <c r="F196">
        <v>0</v>
      </c>
      <c r="G196">
        <v>603737.81213501981</v>
      </c>
      <c r="H196">
        <v>0.85725578156143956</v>
      </c>
    </row>
    <row r="197" spans="1:8" x14ac:dyDescent="0.5">
      <c r="A197" s="1">
        <v>43369</v>
      </c>
      <c r="B197">
        <v>524862.60000000009</v>
      </c>
      <c r="C197">
        <v>-2903.4700000000089</v>
      </c>
      <c r="D197">
        <v>0</v>
      </c>
      <c r="E197">
        <v>521959.13000000006</v>
      </c>
      <c r="F197">
        <v>0</v>
      </c>
      <c r="G197">
        <v>603737.81213501981</v>
      </c>
      <c r="H197">
        <v>0.86454603224896109</v>
      </c>
    </row>
    <row r="198" spans="1:8" x14ac:dyDescent="0.5">
      <c r="A198" s="1">
        <v>43370</v>
      </c>
      <c r="B198">
        <v>521292.89999999997</v>
      </c>
      <c r="C198">
        <v>-2903.4700000000089</v>
      </c>
      <c r="D198">
        <v>0</v>
      </c>
      <c r="E198">
        <v>518389.42999999993</v>
      </c>
      <c r="F198">
        <v>0</v>
      </c>
      <c r="G198">
        <v>603737.81213501981</v>
      </c>
      <c r="H198">
        <v>0.8586333663064778</v>
      </c>
    </row>
    <row r="199" spans="1:8" x14ac:dyDescent="0.5">
      <c r="A199" s="1">
        <v>43371</v>
      </c>
      <c r="B199">
        <v>525943.79999999993</v>
      </c>
      <c r="C199">
        <v>-2903.4700000000089</v>
      </c>
      <c r="D199">
        <v>0</v>
      </c>
      <c r="E199">
        <v>523040.3299999999</v>
      </c>
      <c r="F199">
        <v>0</v>
      </c>
      <c r="G199">
        <v>603737.81213501981</v>
      </c>
      <c r="H199">
        <v>0.8663368758540293</v>
      </c>
    </row>
    <row r="200" spans="1:8" x14ac:dyDescent="0.5">
      <c r="A200" s="1">
        <v>43381</v>
      </c>
      <c r="B200">
        <v>503344.4</v>
      </c>
      <c r="C200">
        <v>-2903.4700000000089</v>
      </c>
      <c r="D200">
        <v>0</v>
      </c>
      <c r="E200">
        <v>500440.93</v>
      </c>
      <c r="F200">
        <v>0</v>
      </c>
      <c r="G200">
        <v>603737.81213501981</v>
      </c>
      <c r="H200">
        <v>0.82890440178042302</v>
      </c>
    </row>
    <row r="201" spans="1:8" x14ac:dyDescent="0.5">
      <c r="A201" s="1">
        <v>43382</v>
      </c>
      <c r="B201">
        <v>502030.5</v>
      </c>
      <c r="C201">
        <v>-2903.4700000000089</v>
      </c>
      <c r="D201">
        <v>0</v>
      </c>
      <c r="E201">
        <v>499127.02999999997</v>
      </c>
      <c r="F201">
        <v>0</v>
      </c>
      <c r="G201">
        <v>603737.81213501981</v>
      </c>
      <c r="H201">
        <v>0.82672812596401579</v>
      </c>
    </row>
    <row r="202" spans="1:8" x14ac:dyDescent="0.5">
      <c r="A202" s="1">
        <v>43383</v>
      </c>
      <c r="B202">
        <v>502673</v>
      </c>
      <c r="C202">
        <v>-2903.4700000000089</v>
      </c>
      <c r="D202">
        <v>0</v>
      </c>
      <c r="E202">
        <v>499769.52999999997</v>
      </c>
      <c r="F202">
        <v>0</v>
      </c>
      <c r="G202">
        <v>603737.81213501981</v>
      </c>
      <c r="H202">
        <v>0.82779232964164851</v>
      </c>
    </row>
    <row r="203" spans="1:8" x14ac:dyDescent="0.5">
      <c r="A203" s="1">
        <v>43384</v>
      </c>
      <c r="B203">
        <v>474089.2</v>
      </c>
      <c r="C203">
        <v>-2903.4700000000089</v>
      </c>
      <c r="D203">
        <v>0</v>
      </c>
      <c r="E203">
        <v>471185.73</v>
      </c>
      <c r="F203">
        <v>0</v>
      </c>
      <c r="G203">
        <v>603737.81213501981</v>
      </c>
      <c r="H203">
        <v>0.78044760578061012</v>
      </c>
    </row>
    <row r="204" spans="1:8" x14ac:dyDescent="0.5">
      <c r="A204" s="1">
        <v>43385</v>
      </c>
      <c r="B204">
        <v>482148.6</v>
      </c>
      <c r="C204">
        <v>-2903.4700000000089</v>
      </c>
      <c r="D204">
        <v>0</v>
      </c>
      <c r="E204">
        <v>479245.12999999995</v>
      </c>
      <c r="F204">
        <v>0</v>
      </c>
      <c r="G204">
        <v>603737.81213501981</v>
      </c>
      <c r="H204">
        <v>0.79379677795105807</v>
      </c>
    </row>
    <row r="205" spans="1:8" x14ac:dyDescent="0.5">
      <c r="A205" s="1">
        <v>43388</v>
      </c>
      <c r="B205">
        <v>475973.00000000006</v>
      </c>
      <c r="C205">
        <v>-2903.4700000000089</v>
      </c>
      <c r="D205">
        <v>0</v>
      </c>
      <c r="E205">
        <v>473069.53</v>
      </c>
      <c r="F205">
        <v>0</v>
      </c>
      <c r="G205">
        <v>603737.81213501981</v>
      </c>
      <c r="H205">
        <v>0.78356783439994782</v>
      </c>
    </row>
    <row r="206" spans="1:8" x14ac:dyDescent="0.5">
      <c r="A206" s="1">
        <v>43389</v>
      </c>
      <c r="B206">
        <v>472123.7</v>
      </c>
      <c r="C206">
        <v>-2903.4700000000089</v>
      </c>
      <c r="D206">
        <v>0</v>
      </c>
      <c r="E206">
        <v>469220.23</v>
      </c>
      <c r="F206">
        <v>0</v>
      </c>
      <c r="G206">
        <v>603737.81213501981</v>
      </c>
      <c r="H206">
        <v>0.77719205351852905</v>
      </c>
    </row>
    <row r="207" spans="1:8" x14ac:dyDescent="0.5">
      <c r="A207" s="1">
        <v>43390</v>
      </c>
      <c r="B207">
        <v>473896.6</v>
      </c>
      <c r="C207">
        <v>-2903.4700000000089</v>
      </c>
      <c r="D207">
        <v>0</v>
      </c>
      <c r="E207">
        <v>470993.12999999995</v>
      </c>
      <c r="F207">
        <v>0</v>
      </c>
      <c r="G207">
        <v>603737.81213501981</v>
      </c>
      <c r="H207">
        <v>0.78012859312954075</v>
      </c>
    </row>
    <row r="208" spans="1:8" x14ac:dyDescent="0.5">
      <c r="A208" s="1">
        <v>43391</v>
      </c>
      <c r="B208">
        <v>463551.50000000006</v>
      </c>
      <c r="C208">
        <v>-2903.4700000000089</v>
      </c>
      <c r="D208">
        <v>0</v>
      </c>
      <c r="E208">
        <v>460648.03</v>
      </c>
      <c r="F208">
        <v>0</v>
      </c>
      <c r="G208">
        <v>603737.81213501981</v>
      </c>
      <c r="H208">
        <v>0.76299350602373861</v>
      </c>
    </row>
    <row r="209" spans="1:8" x14ac:dyDescent="0.5">
      <c r="A209" s="1">
        <v>43392</v>
      </c>
      <c r="B209">
        <v>474472.2</v>
      </c>
      <c r="C209">
        <v>-2903.4700000000089</v>
      </c>
      <c r="D209">
        <v>0</v>
      </c>
      <c r="E209">
        <v>471568.73</v>
      </c>
      <c r="F209">
        <v>0</v>
      </c>
      <c r="G209">
        <v>603737.81213501981</v>
      </c>
      <c r="H209">
        <v>0.78108198711684873</v>
      </c>
    </row>
    <row r="210" spans="1:8" x14ac:dyDescent="0.5">
      <c r="A210" s="1">
        <v>43395</v>
      </c>
      <c r="B210">
        <v>498200.2</v>
      </c>
      <c r="C210">
        <v>-2903.4700000000089</v>
      </c>
      <c r="D210">
        <v>0</v>
      </c>
      <c r="E210">
        <v>495296.73</v>
      </c>
      <c r="F210">
        <v>0</v>
      </c>
      <c r="G210">
        <v>603737.81213501981</v>
      </c>
      <c r="H210">
        <v>0.82038381569718866</v>
      </c>
    </row>
    <row r="211" spans="1:8" x14ac:dyDescent="0.5">
      <c r="A211" s="1">
        <v>43396</v>
      </c>
      <c r="B211">
        <v>483715.8</v>
      </c>
      <c r="C211">
        <v>-2903.4700000000089</v>
      </c>
      <c r="D211">
        <v>0</v>
      </c>
      <c r="E211">
        <v>480812.32999999996</v>
      </c>
      <c r="F211">
        <v>0</v>
      </c>
      <c r="G211">
        <v>603737.81213501981</v>
      </c>
      <c r="H211">
        <v>0.79639260675041368</v>
      </c>
    </row>
    <row r="212" spans="1:8" x14ac:dyDescent="0.5">
      <c r="A212" s="1">
        <v>43397</v>
      </c>
      <c r="B212">
        <v>484556.89999999997</v>
      </c>
      <c r="C212">
        <v>-2903.4700000000089</v>
      </c>
      <c r="D212">
        <v>0</v>
      </c>
      <c r="E212">
        <v>481653.42999999993</v>
      </c>
      <c r="F212">
        <v>0</v>
      </c>
      <c r="G212">
        <v>603737.81213501981</v>
      </c>
      <c r="H212">
        <v>0.79778576116793398</v>
      </c>
    </row>
    <row r="213" spans="1:8" x14ac:dyDescent="0.5">
      <c r="A213" s="1">
        <v>43398</v>
      </c>
      <c r="B213">
        <v>484896</v>
      </c>
      <c r="C213">
        <v>-2903.4700000000089</v>
      </c>
      <c r="D213">
        <v>0</v>
      </c>
      <c r="E213">
        <v>481992.52999999997</v>
      </c>
      <c r="F213">
        <v>0</v>
      </c>
      <c r="G213">
        <v>603737.81213501981</v>
      </c>
      <c r="H213">
        <v>0.79834742882098508</v>
      </c>
    </row>
    <row r="214" spans="1:8" x14ac:dyDescent="0.5">
      <c r="A214" s="1">
        <v>43399</v>
      </c>
      <c r="B214">
        <v>481068.2</v>
      </c>
      <c r="C214">
        <v>-2903.4700000000089</v>
      </c>
      <c r="D214">
        <v>0</v>
      </c>
      <c r="E214">
        <v>478164.73</v>
      </c>
      <c r="F214">
        <v>0</v>
      </c>
      <c r="G214">
        <v>603737.81213501981</v>
      </c>
      <c r="H214">
        <v>0.7920072594244989</v>
      </c>
    </row>
    <row r="215" spans="1:8" x14ac:dyDescent="0.5">
      <c r="A215" s="1">
        <v>43402</v>
      </c>
      <c r="B215">
        <v>468996.80000000005</v>
      </c>
      <c r="C215">
        <v>47096.529999999992</v>
      </c>
      <c r="D215">
        <v>50000</v>
      </c>
      <c r="E215">
        <v>516093.33</v>
      </c>
      <c r="F215">
        <v>63130.734478787235</v>
      </c>
      <c r="G215">
        <v>666868.54661380709</v>
      </c>
      <c r="H215">
        <v>0.77390564095516845</v>
      </c>
    </row>
    <row r="216" spans="1:8" x14ac:dyDescent="0.5">
      <c r="A216" s="1">
        <v>43403</v>
      </c>
      <c r="B216">
        <v>474018.1</v>
      </c>
      <c r="C216">
        <v>47096.529999999992</v>
      </c>
      <c r="D216">
        <v>0</v>
      </c>
      <c r="E216">
        <v>521114.62999999995</v>
      </c>
      <c r="F216">
        <v>0</v>
      </c>
      <c r="G216">
        <v>666868.54661380709</v>
      </c>
      <c r="H216">
        <v>0.7814353108211366</v>
      </c>
    </row>
    <row r="217" spans="1:8" x14ac:dyDescent="0.5">
      <c r="A217" s="1">
        <v>43404</v>
      </c>
      <c r="B217">
        <v>479479.30000000005</v>
      </c>
      <c r="C217">
        <v>47096.529999999992</v>
      </c>
      <c r="D217">
        <v>0</v>
      </c>
      <c r="E217">
        <v>526575.83000000007</v>
      </c>
      <c r="F217">
        <v>0</v>
      </c>
      <c r="G217">
        <v>666868.54661380709</v>
      </c>
      <c r="H217">
        <v>0.78962463093187019</v>
      </c>
    </row>
    <row r="218" spans="1:8" x14ac:dyDescent="0.5">
      <c r="A218" s="1">
        <v>43405</v>
      </c>
      <c r="B218">
        <v>483053.5</v>
      </c>
      <c r="C218">
        <v>47096.529999999992</v>
      </c>
      <c r="D218">
        <v>0</v>
      </c>
      <c r="E218">
        <v>530150.03</v>
      </c>
      <c r="F218">
        <v>0</v>
      </c>
      <c r="G218">
        <v>666868.54661380709</v>
      </c>
      <c r="H218">
        <v>0.79498430791491104</v>
      </c>
    </row>
    <row r="219" spans="1:8" x14ac:dyDescent="0.5">
      <c r="A219" s="1">
        <v>43406</v>
      </c>
      <c r="B219">
        <v>501061.60000000003</v>
      </c>
      <c r="C219">
        <v>47096.529999999992</v>
      </c>
      <c r="D219">
        <v>0</v>
      </c>
      <c r="E219">
        <v>548158.13</v>
      </c>
      <c r="F219">
        <v>0</v>
      </c>
      <c r="G219">
        <v>666868.54661380709</v>
      </c>
      <c r="H219">
        <v>0.82198828057405149</v>
      </c>
    </row>
    <row r="220" spans="1:8" x14ac:dyDescent="0.5">
      <c r="A220" s="1">
        <v>43409</v>
      </c>
      <c r="B220">
        <v>496153.19999999995</v>
      </c>
      <c r="C220">
        <v>47096.529999999992</v>
      </c>
      <c r="D220">
        <v>0</v>
      </c>
      <c r="E220">
        <v>543249.73</v>
      </c>
      <c r="F220">
        <v>0</v>
      </c>
      <c r="G220">
        <v>666868.54661380709</v>
      </c>
      <c r="H220">
        <v>0.81462790944105434</v>
      </c>
    </row>
    <row r="221" spans="1:8" x14ac:dyDescent="0.5">
      <c r="A221" s="1">
        <v>43410</v>
      </c>
      <c r="B221">
        <v>493860.9</v>
      </c>
      <c r="C221">
        <v>47096.529999999992</v>
      </c>
      <c r="D221">
        <v>0</v>
      </c>
      <c r="E221">
        <v>540957.43000000005</v>
      </c>
      <c r="F221">
        <v>0</v>
      </c>
      <c r="G221">
        <v>666868.54661380709</v>
      </c>
      <c r="H221">
        <v>0.8111905003570008</v>
      </c>
    </row>
    <row r="222" spans="1:8" x14ac:dyDescent="0.5">
      <c r="A222" s="1">
        <v>43411</v>
      </c>
      <c r="B222">
        <v>490134.39999999997</v>
      </c>
      <c r="C222">
        <v>47096.529999999992</v>
      </c>
      <c r="D222">
        <v>0</v>
      </c>
      <c r="E222">
        <v>537230.92999999993</v>
      </c>
      <c r="F222">
        <v>0</v>
      </c>
      <c r="G222">
        <v>666868.54661380709</v>
      </c>
      <c r="H222">
        <v>0.80560244253222801</v>
      </c>
    </row>
    <row r="223" spans="1:8" x14ac:dyDescent="0.5">
      <c r="A223" s="1">
        <v>43412</v>
      </c>
      <c r="B223">
        <v>489073.09999999992</v>
      </c>
      <c r="C223">
        <v>47096.529999999992</v>
      </c>
      <c r="D223">
        <v>0</v>
      </c>
      <c r="E223">
        <v>536169.62999999989</v>
      </c>
      <c r="F223">
        <v>0</v>
      </c>
      <c r="G223">
        <v>666868.54661380709</v>
      </c>
      <c r="H223">
        <v>0.80401097446046321</v>
      </c>
    </row>
    <row r="224" spans="1:8" x14ac:dyDescent="0.5">
      <c r="A224" s="1">
        <v>43413</v>
      </c>
      <c r="B224">
        <v>484075.69999999995</v>
      </c>
      <c r="C224">
        <v>97096.53</v>
      </c>
      <c r="D224">
        <v>50000</v>
      </c>
      <c r="E224">
        <v>581172.23</v>
      </c>
      <c r="F224">
        <v>62188.205868151024</v>
      </c>
      <c r="G224">
        <v>729056.75248195813</v>
      </c>
      <c r="H224">
        <v>0.79715636405738133</v>
      </c>
    </row>
    <row r="225" spans="1:8" x14ac:dyDescent="0.5">
      <c r="A225" s="1">
        <v>43416</v>
      </c>
      <c r="B225">
        <v>490344.89999999997</v>
      </c>
      <c r="C225">
        <v>97096.53</v>
      </c>
      <c r="D225">
        <v>0</v>
      </c>
      <c r="E225">
        <v>587441.42999999993</v>
      </c>
      <c r="F225">
        <v>0</v>
      </c>
      <c r="G225">
        <v>729056.75248195813</v>
      </c>
      <c r="H225">
        <v>0.80575542027441449</v>
      </c>
    </row>
    <row r="226" spans="1:8" x14ac:dyDescent="0.5">
      <c r="A226" s="1">
        <v>43417</v>
      </c>
      <c r="B226">
        <v>494797.4</v>
      </c>
      <c r="C226">
        <v>97096.53</v>
      </c>
      <c r="D226">
        <v>0</v>
      </c>
      <c r="E226">
        <v>591893.93000000005</v>
      </c>
      <c r="F226">
        <v>0</v>
      </c>
      <c r="G226">
        <v>729056.75248195813</v>
      </c>
      <c r="H226">
        <v>0.81186262658564101</v>
      </c>
    </row>
    <row r="227" spans="1:8" x14ac:dyDescent="0.5">
      <c r="A227" s="1">
        <v>43418</v>
      </c>
      <c r="B227">
        <v>489602.2</v>
      </c>
      <c r="C227">
        <v>97096.53</v>
      </c>
      <c r="D227">
        <v>0</v>
      </c>
      <c r="E227">
        <v>586698.73</v>
      </c>
      <c r="F227">
        <v>0</v>
      </c>
      <c r="G227">
        <v>729056.75248195813</v>
      </c>
      <c r="H227">
        <v>0.80473670671408937</v>
      </c>
    </row>
    <row r="228" spans="1:8" x14ac:dyDescent="0.5">
      <c r="A228" s="1">
        <v>43419</v>
      </c>
      <c r="B228">
        <v>496730.19999999995</v>
      </c>
      <c r="C228">
        <v>97096.53</v>
      </c>
      <c r="D228">
        <v>0</v>
      </c>
      <c r="E228">
        <v>593826.73</v>
      </c>
      <c r="F228">
        <v>0</v>
      </c>
      <c r="G228">
        <v>729056.75248195813</v>
      </c>
      <c r="H228">
        <v>0.81451372335337546</v>
      </c>
    </row>
    <row r="229" spans="1:8" x14ac:dyDescent="0.5">
      <c r="A229" s="1">
        <v>43420</v>
      </c>
      <c r="B229">
        <v>497888.4</v>
      </c>
      <c r="C229">
        <v>97096.53</v>
      </c>
      <c r="D229">
        <v>0</v>
      </c>
      <c r="E229">
        <v>594984.93000000005</v>
      </c>
      <c r="F229">
        <v>0</v>
      </c>
      <c r="G229">
        <v>729056.75248195813</v>
      </c>
      <c r="H229">
        <v>0.81610235139372644</v>
      </c>
    </row>
    <row r="230" spans="1:8" x14ac:dyDescent="0.5">
      <c r="A230" s="1">
        <v>43423</v>
      </c>
      <c r="B230">
        <v>502266</v>
      </c>
      <c r="C230">
        <v>97096.53</v>
      </c>
      <c r="D230">
        <v>0</v>
      </c>
      <c r="E230">
        <v>599362.53</v>
      </c>
      <c r="F230">
        <v>0</v>
      </c>
      <c r="G230">
        <v>729056.75248195813</v>
      </c>
      <c r="H230">
        <v>0.82210682221866171</v>
      </c>
    </row>
    <row r="231" spans="1:8" x14ac:dyDescent="0.5">
      <c r="A231" s="1">
        <v>43424</v>
      </c>
      <c r="B231">
        <v>492706.39999999997</v>
      </c>
      <c r="C231">
        <v>97096.53</v>
      </c>
      <c r="D231">
        <v>0</v>
      </c>
      <c r="E231">
        <v>589802.92999999993</v>
      </c>
      <c r="F231">
        <v>0</v>
      </c>
      <c r="G231">
        <v>729056.75248195813</v>
      </c>
      <c r="H231">
        <v>0.80899453710854385</v>
      </c>
    </row>
    <row r="232" spans="1:8" x14ac:dyDescent="0.5">
      <c r="A232" s="1">
        <v>43425</v>
      </c>
      <c r="B232">
        <v>492688.7</v>
      </c>
      <c r="C232">
        <v>97096.53</v>
      </c>
      <c r="D232">
        <v>0</v>
      </c>
      <c r="E232">
        <v>589785.23</v>
      </c>
      <c r="F232">
        <v>0</v>
      </c>
      <c r="G232">
        <v>729056.75248195813</v>
      </c>
      <c r="H232">
        <v>0.80897025916318543</v>
      </c>
    </row>
    <row r="233" spans="1:8" x14ac:dyDescent="0.5">
      <c r="A233" s="1">
        <v>43426</v>
      </c>
      <c r="B233">
        <v>491813.5</v>
      </c>
      <c r="C233">
        <v>97096.53</v>
      </c>
      <c r="D233">
        <v>0</v>
      </c>
      <c r="E233">
        <v>588910.03</v>
      </c>
      <c r="F233">
        <v>0</v>
      </c>
      <c r="G233">
        <v>729056.75248195813</v>
      </c>
      <c r="H233">
        <v>0.80776980392150433</v>
      </c>
    </row>
    <row r="234" spans="1:8" x14ac:dyDescent="0.5">
      <c r="A234" s="1">
        <v>43427</v>
      </c>
      <c r="B234">
        <v>478084.29999999993</v>
      </c>
      <c r="C234">
        <v>97096.53</v>
      </c>
      <c r="D234">
        <v>0</v>
      </c>
      <c r="E234">
        <v>575180.82999999996</v>
      </c>
      <c r="F234">
        <v>0</v>
      </c>
      <c r="G234">
        <v>729056.75248195813</v>
      </c>
      <c r="H234">
        <v>0.78893834813529673</v>
      </c>
    </row>
    <row r="235" spans="1:8" x14ac:dyDescent="0.5">
      <c r="A235" s="1">
        <v>43430</v>
      </c>
      <c r="B235">
        <v>478769.59999999992</v>
      </c>
      <c r="C235">
        <v>97096.53</v>
      </c>
      <c r="D235">
        <v>0</v>
      </c>
      <c r="E235">
        <v>575866.12999999989</v>
      </c>
      <c r="F235">
        <v>0</v>
      </c>
      <c r="G235">
        <v>729056.75248195813</v>
      </c>
      <c r="H235">
        <v>0.78987832982762307</v>
      </c>
    </row>
    <row r="236" spans="1:8" x14ac:dyDescent="0.5">
      <c r="A236" s="1">
        <v>43431</v>
      </c>
      <c r="B236">
        <v>479610.4</v>
      </c>
      <c r="C236">
        <v>127096.53</v>
      </c>
      <c r="D236">
        <v>30000</v>
      </c>
      <c r="E236">
        <v>606706.93000000005</v>
      </c>
      <c r="F236">
        <v>37980.533035444794</v>
      </c>
      <c r="G236">
        <v>767037.28551740292</v>
      </c>
      <c r="H236">
        <v>0.79097449557585398</v>
      </c>
    </row>
    <row r="237" spans="1:8" x14ac:dyDescent="0.5">
      <c r="A237" s="1">
        <v>43432</v>
      </c>
      <c r="B237">
        <v>486189.9</v>
      </c>
      <c r="C237">
        <v>127096.53</v>
      </c>
      <c r="D237">
        <v>0</v>
      </c>
      <c r="E237">
        <v>613286.43000000005</v>
      </c>
      <c r="F237">
        <v>0</v>
      </c>
      <c r="G237">
        <v>767037.28551740292</v>
      </c>
      <c r="H237">
        <v>0.79955230544798006</v>
      </c>
    </row>
    <row r="238" spans="1:8" x14ac:dyDescent="0.5">
      <c r="A238" s="1">
        <v>43433</v>
      </c>
      <c r="B238">
        <v>481214.10000000003</v>
      </c>
      <c r="C238">
        <v>127096.53</v>
      </c>
      <c r="D238">
        <v>0</v>
      </c>
      <c r="E238">
        <v>608310.63</v>
      </c>
      <c r="F238">
        <v>0</v>
      </c>
      <c r="G238">
        <v>767037.28551740292</v>
      </c>
      <c r="H238">
        <v>0.79306526747218775</v>
      </c>
    </row>
    <row r="239" spans="1:8" x14ac:dyDescent="0.5">
      <c r="A239" s="1">
        <v>43434</v>
      </c>
      <c r="B239">
        <v>485275.7</v>
      </c>
      <c r="C239">
        <v>127096.53</v>
      </c>
      <c r="D239">
        <v>0</v>
      </c>
      <c r="E239">
        <v>612372.23</v>
      </c>
      <c r="F239">
        <v>0</v>
      </c>
      <c r="G239">
        <v>767037.28551740292</v>
      </c>
      <c r="H239">
        <v>0.79836044682876917</v>
      </c>
    </row>
    <row r="240" spans="1:8" x14ac:dyDescent="0.5">
      <c r="A240" s="1">
        <v>43437</v>
      </c>
      <c r="B240">
        <v>497937</v>
      </c>
      <c r="C240">
        <v>127096.53</v>
      </c>
      <c r="D240">
        <v>0</v>
      </c>
      <c r="E240">
        <v>625033.53</v>
      </c>
      <c r="F240">
        <v>0</v>
      </c>
      <c r="G240">
        <v>767037.28551740292</v>
      </c>
      <c r="H240">
        <v>0.81486720632933163</v>
      </c>
    </row>
    <row r="241" spans="1:8" x14ac:dyDescent="0.5">
      <c r="A241" s="1">
        <v>43438</v>
      </c>
      <c r="B241">
        <v>497960.1</v>
      </c>
      <c r="C241">
        <v>127096.53</v>
      </c>
      <c r="D241">
        <v>0</v>
      </c>
      <c r="E241">
        <v>625056.63</v>
      </c>
      <c r="F241">
        <v>0</v>
      </c>
      <c r="G241">
        <v>767037.28551740292</v>
      </c>
      <c r="H241">
        <v>0.81489732220562106</v>
      </c>
    </row>
    <row r="242" spans="1:8" x14ac:dyDescent="0.5">
      <c r="A242" s="1">
        <v>43439</v>
      </c>
      <c r="B242">
        <v>494974.09999999992</v>
      </c>
      <c r="C242">
        <v>127586.53</v>
      </c>
      <c r="D242">
        <v>0</v>
      </c>
      <c r="E242">
        <v>622560.62999999989</v>
      </c>
      <c r="F242">
        <v>0</v>
      </c>
      <c r="G242">
        <v>767037.28551740292</v>
      </c>
      <c r="H242">
        <v>0.81164324310525959</v>
      </c>
    </row>
    <row r="243" spans="1:8" x14ac:dyDescent="0.5">
      <c r="A243" s="1">
        <v>43440</v>
      </c>
      <c r="B243">
        <v>486225.29999999993</v>
      </c>
      <c r="C243">
        <v>127586.53</v>
      </c>
      <c r="D243">
        <v>0</v>
      </c>
      <c r="E243">
        <v>613811.82999999996</v>
      </c>
      <c r="F243">
        <v>0</v>
      </c>
      <c r="G243">
        <v>767037.28551740292</v>
      </c>
      <c r="H243">
        <v>0.80023727866886529</v>
      </c>
    </row>
    <row r="244" spans="1:8" x14ac:dyDescent="0.5">
      <c r="A244" s="1">
        <v>43441</v>
      </c>
      <c r="B244">
        <v>485439.4</v>
      </c>
      <c r="C244">
        <v>127586.53</v>
      </c>
      <c r="D244">
        <v>0</v>
      </c>
      <c r="E244">
        <v>613025.93000000005</v>
      </c>
      <c r="F244">
        <v>0</v>
      </c>
      <c r="G244">
        <v>767037.28551740292</v>
      </c>
      <c r="H244">
        <v>0.7992126870162316</v>
      </c>
    </row>
    <row r="245" spans="1:8" x14ac:dyDescent="0.5">
      <c r="A245" s="1">
        <v>43444</v>
      </c>
      <c r="B245">
        <v>479959.4</v>
      </c>
      <c r="C245">
        <v>127586.53</v>
      </c>
      <c r="D245">
        <v>0</v>
      </c>
      <c r="E245">
        <v>607545.93000000005</v>
      </c>
      <c r="F245">
        <v>0</v>
      </c>
      <c r="G245">
        <v>767037.28551740292</v>
      </c>
      <c r="H245">
        <v>0.79206831463242566</v>
      </c>
    </row>
    <row r="246" spans="1:8" x14ac:dyDescent="0.5">
      <c r="A246" s="1">
        <v>43445</v>
      </c>
      <c r="B246">
        <v>482253.40000000008</v>
      </c>
      <c r="C246">
        <v>127586.53</v>
      </c>
      <c r="D246">
        <v>0</v>
      </c>
      <c r="E246">
        <v>609839.93000000005</v>
      </c>
      <c r="F246">
        <v>0</v>
      </c>
      <c r="G246">
        <v>767037.28551740292</v>
      </c>
      <c r="H246">
        <v>0.79505904277995321</v>
      </c>
    </row>
    <row r="247" spans="1:8" x14ac:dyDescent="0.5">
      <c r="A247" s="1">
        <v>43446</v>
      </c>
      <c r="B247">
        <v>483200.3</v>
      </c>
      <c r="C247">
        <v>127586.53</v>
      </c>
      <c r="D247">
        <v>0</v>
      </c>
      <c r="E247">
        <v>610786.82999999996</v>
      </c>
      <c r="F247">
        <v>0</v>
      </c>
      <c r="G247">
        <v>767037.28551740292</v>
      </c>
      <c r="H247">
        <v>0.79629353296430094</v>
      </c>
    </row>
    <row r="248" spans="1:8" x14ac:dyDescent="0.5">
      <c r="A248" s="1">
        <v>43447</v>
      </c>
      <c r="B248">
        <v>490698.5</v>
      </c>
      <c r="C248">
        <v>127586.53</v>
      </c>
      <c r="D248">
        <v>0</v>
      </c>
      <c r="E248">
        <v>618285.03</v>
      </c>
      <c r="F248">
        <v>0</v>
      </c>
      <c r="G248">
        <v>767037.28551740292</v>
      </c>
      <c r="H248">
        <v>0.80606906818478519</v>
      </c>
    </row>
    <row r="249" spans="1:8" x14ac:dyDescent="0.5">
      <c r="A249" s="1">
        <v>43448</v>
      </c>
      <c r="B249">
        <v>501826.2</v>
      </c>
      <c r="C249">
        <v>148116.69</v>
      </c>
      <c r="D249">
        <v>40000</v>
      </c>
      <c r="E249">
        <v>649942.89</v>
      </c>
      <c r="F249">
        <v>49623.539196309051</v>
      </c>
      <c r="G249">
        <v>816660.82471371198</v>
      </c>
      <c r="H249">
        <v>0.79585412980700221</v>
      </c>
    </row>
    <row r="250" spans="1:8" x14ac:dyDescent="0.5">
      <c r="A250" s="1">
        <v>43451</v>
      </c>
      <c r="B250">
        <v>500938.5</v>
      </c>
      <c r="C250">
        <v>148116.69</v>
      </c>
      <c r="D250">
        <v>0</v>
      </c>
      <c r="E250">
        <v>649055.18999999994</v>
      </c>
      <c r="F250">
        <v>0</v>
      </c>
      <c r="G250">
        <v>816660.82471371198</v>
      </c>
      <c r="H250">
        <v>0.7947671424394972</v>
      </c>
    </row>
    <row r="251" spans="1:8" x14ac:dyDescent="0.5">
      <c r="A251" s="1">
        <v>43452</v>
      </c>
      <c r="B251">
        <v>514125.50000000006</v>
      </c>
      <c r="C251">
        <v>128874.92</v>
      </c>
      <c r="D251">
        <v>0</v>
      </c>
      <c r="E251">
        <v>643000.42000000004</v>
      </c>
      <c r="F251">
        <v>0</v>
      </c>
      <c r="G251">
        <v>816660.82471371198</v>
      </c>
      <c r="H251">
        <v>0.78735308532206105</v>
      </c>
    </row>
    <row r="252" spans="1:8" x14ac:dyDescent="0.5">
      <c r="A252" s="1">
        <v>43453</v>
      </c>
      <c r="B252">
        <v>508435.4</v>
      </c>
      <c r="C252">
        <v>68874.92</v>
      </c>
      <c r="D252">
        <v>-60000</v>
      </c>
      <c r="E252">
        <v>577310.32000000007</v>
      </c>
      <c r="F252">
        <v>-76204.692810033812</v>
      </c>
      <c r="G252">
        <v>740456.13190367818</v>
      </c>
      <c r="H252">
        <v>0.77966849773498692</v>
      </c>
    </row>
    <row r="253" spans="1:8" x14ac:dyDescent="0.5">
      <c r="A253" s="1">
        <v>43454</v>
      </c>
      <c r="B253">
        <v>505094.6</v>
      </c>
      <c r="C253">
        <v>68927.45</v>
      </c>
      <c r="D253">
        <v>0</v>
      </c>
      <c r="E253">
        <v>574022.04999999993</v>
      </c>
      <c r="F253">
        <v>0</v>
      </c>
      <c r="G253">
        <v>740456.13190367818</v>
      </c>
      <c r="H253">
        <v>0.77522762695504466</v>
      </c>
    </row>
    <row r="254" spans="1:8" x14ac:dyDescent="0.5">
      <c r="A254" s="1">
        <v>43455</v>
      </c>
      <c r="B254">
        <v>499121.00000000006</v>
      </c>
      <c r="C254">
        <v>68927.45</v>
      </c>
      <c r="D254">
        <v>0</v>
      </c>
      <c r="E254">
        <v>568048.45000000007</v>
      </c>
      <c r="F254">
        <v>0</v>
      </c>
      <c r="G254">
        <v>740456.13190367818</v>
      </c>
      <c r="H254">
        <v>0.76716016726011038</v>
      </c>
    </row>
    <row r="255" spans="1:8" x14ac:dyDescent="0.5">
      <c r="A255" s="1">
        <v>43458</v>
      </c>
      <c r="B255">
        <v>500683.89999999997</v>
      </c>
      <c r="C255">
        <v>68927.45</v>
      </c>
      <c r="D255">
        <v>0</v>
      </c>
      <c r="E255">
        <v>569611.35</v>
      </c>
      <c r="F255">
        <v>0</v>
      </c>
      <c r="G255">
        <v>740456.13190367818</v>
      </c>
      <c r="H255">
        <v>0.76927089324732278</v>
      </c>
    </row>
    <row r="256" spans="1:8" x14ac:dyDescent="0.5">
      <c r="A256" s="1">
        <v>43459</v>
      </c>
      <c r="B256">
        <v>497059.1</v>
      </c>
      <c r="C256">
        <v>68927.45</v>
      </c>
      <c r="D256">
        <v>0</v>
      </c>
      <c r="E256">
        <v>565986.54999999993</v>
      </c>
      <c r="F256">
        <v>0</v>
      </c>
      <c r="G256">
        <v>740456.13190367818</v>
      </c>
      <c r="H256">
        <v>0.7643755323423076</v>
      </c>
    </row>
    <row r="257" spans="1:8" x14ac:dyDescent="0.5">
      <c r="A257" s="1">
        <v>43460</v>
      </c>
      <c r="B257">
        <v>494297.5</v>
      </c>
      <c r="C257">
        <v>68927.45</v>
      </c>
      <c r="D257">
        <v>0</v>
      </c>
      <c r="E257">
        <v>563224.94999999995</v>
      </c>
      <c r="F257">
        <v>0</v>
      </c>
      <c r="G257">
        <v>740456.13190367818</v>
      </c>
      <c r="H257">
        <v>0.7606459393508902</v>
      </c>
    </row>
    <row r="258" spans="1:8" x14ac:dyDescent="0.5">
      <c r="A258" s="1">
        <v>43461</v>
      </c>
      <c r="B258">
        <v>493467.89999999997</v>
      </c>
      <c r="C258">
        <v>68927.45</v>
      </c>
      <c r="D258">
        <v>0</v>
      </c>
      <c r="E258">
        <v>562395.35</v>
      </c>
      <c r="F258">
        <v>0</v>
      </c>
      <c r="G258">
        <v>740456.13190367818</v>
      </c>
      <c r="H258">
        <v>0.75952554887229817</v>
      </c>
    </row>
    <row r="259" spans="1:8" x14ac:dyDescent="0.5">
      <c r="A259" s="1">
        <v>43462</v>
      </c>
      <c r="B259">
        <v>494642.29999999993</v>
      </c>
      <c r="C259">
        <v>68927.45</v>
      </c>
      <c r="D259">
        <v>0</v>
      </c>
      <c r="E259">
        <v>563569.74999999988</v>
      </c>
      <c r="F259">
        <v>0</v>
      </c>
      <c r="G259">
        <v>740456.13190367818</v>
      </c>
      <c r="H259">
        <v>0.76111159826725772</v>
      </c>
    </row>
    <row r="260" spans="1:8" x14ac:dyDescent="0.5">
      <c r="A260" s="1">
        <v>43467</v>
      </c>
      <c r="B260">
        <v>489508.10000000003</v>
      </c>
      <c r="C260">
        <v>68927.45</v>
      </c>
      <c r="D260">
        <v>0</v>
      </c>
      <c r="E260">
        <v>558435.55000000005</v>
      </c>
      <c r="F260">
        <v>0</v>
      </c>
      <c r="G260">
        <v>740456.13190367818</v>
      </c>
      <c r="H260">
        <v>0.75417776413612547</v>
      </c>
    </row>
    <row r="261" spans="1:8" x14ac:dyDescent="0.5">
      <c r="A261" s="1">
        <v>43468</v>
      </c>
      <c r="B261">
        <v>551700.4</v>
      </c>
      <c r="C261">
        <v>110283.26000000001</v>
      </c>
      <c r="D261">
        <v>101693.91</v>
      </c>
      <c r="E261">
        <v>661983.66</v>
      </c>
      <c r="F261">
        <v>134840.76942587335</v>
      </c>
      <c r="G261">
        <v>875296.90132955159</v>
      </c>
      <c r="H261">
        <v>0.75629613105503435</v>
      </c>
    </row>
    <row r="262" spans="1:8" x14ac:dyDescent="0.5">
      <c r="A262" s="1">
        <v>43469</v>
      </c>
      <c r="B262">
        <v>564834</v>
      </c>
      <c r="C262">
        <v>110283.26000000001</v>
      </c>
      <c r="D262">
        <v>0</v>
      </c>
      <c r="E262">
        <v>675117.26</v>
      </c>
      <c r="F262">
        <v>0</v>
      </c>
      <c r="G262">
        <v>875296.90132955159</v>
      </c>
      <c r="H262">
        <v>0.77130086828196887</v>
      </c>
    </row>
    <row r="263" spans="1:8" x14ac:dyDescent="0.5">
      <c r="A263" s="1">
        <v>43472</v>
      </c>
      <c r="B263">
        <v>570435.6</v>
      </c>
      <c r="C263">
        <v>110283.26000000001</v>
      </c>
      <c r="D263">
        <v>0</v>
      </c>
      <c r="E263">
        <v>680718.86</v>
      </c>
      <c r="F263">
        <v>0</v>
      </c>
      <c r="G263">
        <v>875296.90132955159</v>
      </c>
      <c r="H263">
        <v>0.7777005253486069</v>
      </c>
    </row>
    <row r="264" spans="1:8" x14ac:dyDescent="0.5">
      <c r="A264" s="1">
        <v>43473</v>
      </c>
      <c r="B264">
        <v>569250.79999999993</v>
      </c>
      <c r="C264">
        <v>110283.26000000001</v>
      </c>
      <c r="D264">
        <v>0</v>
      </c>
      <c r="E264">
        <v>679534.05999999994</v>
      </c>
      <c r="F264">
        <v>0</v>
      </c>
      <c r="G264">
        <v>875296.90132955159</v>
      </c>
      <c r="H264">
        <v>0.77634692750289258</v>
      </c>
    </row>
    <row r="265" spans="1:8" x14ac:dyDescent="0.5">
      <c r="A265" s="1">
        <v>43474</v>
      </c>
      <c r="B265">
        <v>572231.30000000005</v>
      </c>
      <c r="C265">
        <v>110283.26000000001</v>
      </c>
      <c r="D265">
        <v>0</v>
      </c>
      <c r="E265">
        <v>682514.56</v>
      </c>
      <c r="F265">
        <v>0</v>
      </c>
      <c r="G265">
        <v>875296.90132955159</v>
      </c>
      <c r="H265">
        <v>0.779752057802649</v>
      </c>
    </row>
    <row r="266" spans="1:8" x14ac:dyDescent="0.5">
      <c r="A266" s="1">
        <v>43475</v>
      </c>
      <c r="B266">
        <v>571960.30000000005</v>
      </c>
      <c r="C266">
        <v>110283.26000000001</v>
      </c>
      <c r="D266">
        <v>0</v>
      </c>
      <c r="E266">
        <v>682243.56</v>
      </c>
      <c r="F266">
        <v>0</v>
      </c>
      <c r="G266">
        <v>875296.90132955159</v>
      </c>
      <c r="H266">
        <v>0.77944244857223999</v>
      </c>
    </row>
    <row r="267" spans="1:8" x14ac:dyDescent="0.5">
      <c r="A267" s="1">
        <v>43476</v>
      </c>
      <c r="B267">
        <v>577037.30000000005</v>
      </c>
      <c r="C267">
        <v>110283.26000000001</v>
      </c>
      <c r="D267">
        <v>0</v>
      </c>
      <c r="E267">
        <v>687320.56</v>
      </c>
      <c r="F267">
        <v>0</v>
      </c>
      <c r="G267">
        <v>875296.90132955159</v>
      </c>
      <c r="H267">
        <v>0.78524276614709743</v>
      </c>
    </row>
    <row r="268" spans="1:8" x14ac:dyDescent="0.5">
      <c r="A268" s="1">
        <v>43479</v>
      </c>
      <c r="B268">
        <v>572057.1</v>
      </c>
      <c r="C268">
        <v>110283.26000000001</v>
      </c>
      <c r="D268">
        <v>0</v>
      </c>
      <c r="E268">
        <v>682340.36</v>
      </c>
      <c r="F268">
        <v>0</v>
      </c>
      <c r="G268">
        <v>875296.90132955159</v>
      </c>
      <c r="H268">
        <v>0.77955303961837863</v>
      </c>
    </row>
    <row r="269" spans="1:8" x14ac:dyDescent="0.5">
      <c r="A269" s="1">
        <v>43480</v>
      </c>
      <c r="B269">
        <v>581567.9</v>
      </c>
      <c r="C269">
        <v>110283.26000000001</v>
      </c>
      <c r="D269">
        <v>0</v>
      </c>
      <c r="E269">
        <v>691851.16</v>
      </c>
      <c r="F269">
        <v>0</v>
      </c>
      <c r="G269">
        <v>875296.90132955159</v>
      </c>
      <c r="H269">
        <v>0.79041883839540317</v>
      </c>
    </row>
    <row r="270" spans="1:8" x14ac:dyDescent="0.5">
      <c r="A270" s="1">
        <v>43481</v>
      </c>
      <c r="B270">
        <v>572958.89999999991</v>
      </c>
      <c r="C270">
        <v>110283.26000000001</v>
      </c>
      <c r="D270">
        <v>0</v>
      </c>
      <c r="E270">
        <v>683242.15999999992</v>
      </c>
      <c r="F270">
        <v>0</v>
      </c>
      <c r="G270">
        <v>875296.90132955159</v>
      </c>
      <c r="H270">
        <v>0.78058331859986496</v>
      </c>
    </row>
    <row r="271" spans="1:8" x14ac:dyDescent="0.5">
      <c r="A271" s="1">
        <v>43482</v>
      </c>
      <c r="B271">
        <v>569290.80000000005</v>
      </c>
      <c r="C271">
        <v>110283.26000000001</v>
      </c>
      <c r="D271">
        <v>0</v>
      </c>
      <c r="E271">
        <v>679574.06</v>
      </c>
      <c r="F271">
        <v>0</v>
      </c>
      <c r="G271">
        <v>875296.90132955159</v>
      </c>
      <c r="H271">
        <v>0.77639262628228889</v>
      </c>
    </row>
    <row r="272" spans="1:8" x14ac:dyDescent="0.5">
      <c r="A272" s="1">
        <v>43483</v>
      </c>
      <c r="B272">
        <v>578226.1</v>
      </c>
      <c r="C272">
        <v>118354.46</v>
      </c>
      <c r="D272">
        <v>0</v>
      </c>
      <c r="E272">
        <v>696580.55999999994</v>
      </c>
      <c r="F272">
        <v>0</v>
      </c>
      <c r="G272">
        <v>875296.90132955159</v>
      </c>
      <c r="H272">
        <v>0.79582203357730785</v>
      </c>
    </row>
    <row r="273" spans="1:8" x14ac:dyDescent="0.5">
      <c r="A273" s="1">
        <v>43486</v>
      </c>
      <c r="B273">
        <v>581338.39999999991</v>
      </c>
      <c r="C273">
        <v>118354.46</v>
      </c>
      <c r="D273">
        <v>0</v>
      </c>
      <c r="E273">
        <v>699692.85999999987</v>
      </c>
      <c r="F273">
        <v>0</v>
      </c>
      <c r="G273">
        <v>875296.90132955159</v>
      </c>
      <c r="H273">
        <v>0.79937774135517436</v>
      </c>
    </row>
    <row r="274" spans="1:8" x14ac:dyDescent="0.5">
      <c r="A274" s="1">
        <v>43487</v>
      </c>
      <c r="B274">
        <v>573982.60000000009</v>
      </c>
      <c r="C274">
        <v>118354.46</v>
      </c>
      <c r="D274">
        <v>0</v>
      </c>
      <c r="E274">
        <v>692337.06</v>
      </c>
      <c r="F274">
        <v>0</v>
      </c>
      <c r="G274">
        <v>875296.90132955159</v>
      </c>
      <c r="H274">
        <v>0.79097396431811806</v>
      </c>
    </row>
    <row r="275" spans="1:8" x14ac:dyDescent="0.5">
      <c r="A275" s="1">
        <v>43488</v>
      </c>
      <c r="B275">
        <v>572988.89999999991</v>
      </c>
      <c r="C275">
        <v>118354.46</v>
      </c>
      <c r="D275">
        <v>0</v>
      </c>
      <c r="E275">
        <v>691343.35999999987</v>
      </c>
      <c r="F275">
        <v>0</v>
      </c>
      <c r="G275">
        <v>875296.90132955159</v>
      </c>
      <c r="H275">
        <v>0.78983869239096882</v>
      </c>
    </row>
    <row r="276" spans="1:8" x14ac:dyDescent="0.5">
      <c r="A276" s="1">
        <v>43489</v>
      </c>
      <c r="B276">
        <v>577594.29999999993</v>
      </c>
      <c r="C276">
        <v>118354.46</v>
      </c>
      <c r="D276">
        <v>0</v>
      </c>
      <c r="E276">
        <v>695948.75999999989</v>
      </c>
      <c r="F276">
        <v>0</v>
      </c>
      <c r="G276">
        <v>875296.90132955159</v>
      </c>
      <c r="H276">
        <v>0.79510022135674552</v>
      </c>
    </row>
    <row r="277" spans="1:8" x14ac:dyDescent="0.5">
      <c r="A277" s="1">
        <v>43490</v>
      </c>
      <c r="B277">
        <v>580618</v>
      </c>
      <c r="C277">
        <v>118354.46</v>
      </c>
      <c r="D277">
        <v>0</v>
      </c>
      <c r="E277">
        <v>698972.46</v>
      </c>
      <c r="F277">
        <v>0</v>
      </c>
      <c r="G277">
        <v>875296.90132955159</v>
      </c>
      <c r="H277">
        <v>0.79855470633824965</v>
      </c>
    </row>
    <row r="278" spans="1:8" x14ac:dyDescent="0.5">
      <c r="A278" s="1">
        <v>43493</v>
      </c>
      <c r="B278">
        <v>579546.39999999991</v>
      </c>
      <c r="C278">
        <v>118354.46</v>
      </c>
      <c r="D278">
        <v>0</v>
      </c>
      <c r="E278">
        <v>697900.85999999987</v>
      </c>
      <c r="F278">
        <v>0</v>
      </c>
      <c r="G278">
        <v>875296.90132955159</v>
      </c>
      <c r="H278">
        <v>0.79733043603822651</v>
      </c>
    </row>
    <row r="279" spans="1:8" x14ac:dyDescent="0.5">
      <c r="A279" s="1">
        <v>43494</v>
      </c>
      <c r="B279">
        <v>579685.9</v>
      </c>
      <c r="C279">
        <v>118354.46</v>
      </c>
      <c r="D279">
        <v>0</v>
      </c>
      <c r="E279">
        <v>698040.36</v>
      </c>
      <c r="F279">
        <v>0</v>
      </c>
      <c r="G279">
        <v>875296.90132955159</v>
      </c>
      <c r="H279">
        <v>0.79748981053137069</v>
      </c>
    </row>
    <row r="280" spans="1:8" x14ac:dyDescent="0.5">
      <c r="A280" s="1">
        <v>43495</v>
      </c>
      <c r="B280">
        <v>576631.19999999995</v>
      </c>
      <c r="C280">
        <v>118354.46</v>
      </c>
      <c r="D280">
        <v>0</v>
      </c>
      <c r="E280">
        <v>694985.65999999992</v>
      </c>
      <c r="F280">
        <v>0</v>
      </c>
      <c r="G280">
        <v>875296.90132955159</v>
      </c>
      <c r="H280">
        <v>0.7939999089958345</v>
      </c>
    </row>
    <row r="281" spans="1:8" x14ac:dyDescent="0.5">
      <c r="A281" s="1">
        <v>43496</v>
      </c>
      <c r="B281">
        <v>580515.5</v>
      </c>
      <c r="C281">
        <v>118354.46</v>
      </c>
      <c r="D281">
        <v>0</v>
      </c>
      <c r="E281">
        <v>698869.96</v>
      </c>
      <c r="F281">
        <v>0</v>
      </c>
      <c r="G281">
        <v>875296.90132955159</v>
      </c>
      <c r="H281">
        <v>0.79843760321604695</v>
      </c>
    </row>
    <row r="282" spans="1:8" x14ac:dyDescent="0.5">
      <c r="A282" s="1">
        <v>43497</v>
      </c>
      <c r="B282">
        <v>590572.80000000005</v>
      </c>
      <c r="C282">
        <v>118354.46</v>
      </c>
      <c r="D282">
        <v>0</v>
      </c>
      <c r="E282">
        <v>708927.26</v>
      </c>
      <c r="F282">
        <v>0</v>
      </c>
      <c r="G282">
        <v>875296.90132955159</v>
      </c>
      <c r="H282">
        <v>0.80992776156657165</v>
      </c>
    </row>
    <row r="283" spans="1:8" x14ac:dyDescent="0.5">
      <c r="A283" s="1">
        <v>43507</v>
      </c>
      <c r="B283">
        <v>598996.79999999993</v>
      </c>
      <c r="C283">
        <v>118354.46</v>
      </c>
      <c r="D283">
        <v>0</v>
      </c>
      <c r="E283">
        <v>717351.25999999989</v>
      </c>
      <c r="F283">
        <v>0</v>
      </c>
      <c r="G283">
        <v>875296.90132955159</v>
      </c>
      <c r="H283">
        <v>0.81955192450740233</v>
      </c>
    </row>
    <row r="284" spans="1:8" x14ac:dyDescent="0.5">
      <c r="A284" s="1">
        <v>43508</v>
      </c>
      <c r="B284">
        <v>603274.29999999993</v>
      </c>
      <c r="C284">
        <v>118354.46</v>
      </c>
      <c r="D284">
        <v>0</v>
      </c>
      <c r="E284">
        <v>721628.75999999989</v>
      </c>
      <c r="F284">
        <v>0</v>
      </c>
      <c r="G284">
        <v>875296.90132955159</v>
      </c>
      <c r="H284">
        <v>0.824438837729079</v>
      </c>
    </row>
    <row r="285" spans="1:8" x14ac:dyDescent="0.5">
      <c r="A285" s="1">
        <v>43509</v>
      </c>
      <c r="B285">
        <v>615428.4</v>
      </c>
      <c r="C285">
        <v>118354.46</v>
      </c>
      <c r="D285">
        <v>0</v>
      </c>
      <c r="E285">
        <v>733782.86</v>
      </c>
      <c r="F285">
        <v>0</v>
      </c>
      <c r="G285">
        <v>875296.90132955159</v>
      </c>
      <c r="H285">
        <v>0.8383245260955503</v>
      </c>
    </row>
    <row r="286" spans="1:8" x14ac:dyDescent="0.5">
      <c r="A286" s="1">
        <v>43510</v>
      </c>
      <c r="B286">
        <v>616116.6</v>
      </c>
      <c r="C286">
        <v>118354.46</v>
      </c>
      <c r="D286">
        <v>0</v>
      </c>
      <c r="E286">
        <v>734471.05999999994</v>
      </c>
      <c r="F286">
        <v>0</v>
      </c>
      <c r="G286">
        <v>875296.90132955159</v>
      </c>
      <c r="H286">
        <v>0.83911077359506114</v>
      </c>
    </row>
    <row r="287" spans="1:8" x14ac:dyDescent="0.5">
      <c r="A287" s="1">
        <v>43511</v>
      </c>
      <c r="B287">
        <v>607026.80000000005</v>
      </c>
      <c r="C287">
        <v>118354.46</v>
      </c>
      <c r="D287">
        <v>0</v>
      </c>
      <c r="E287">
        <v>725381.26</v>
      </c>
      <c r="F287">
        <v>0</v>
      </c>
      <c r="G287">
        <v>875296.90132955159</v>
      </c>
      <c r="H287">
        <v>0.82872595447118125</v>
      </c>
    </row>
    <row r="288" spans="1:8" x14ac:dyDescent="0.5">
      <c r="A288" s="1">
        <v>43514</v>
      </c>
      <c r="B288">
        <v>625554.79999999993</v>
      </c>
      <c r="C288">
        <v>118354.46</v>
      </c>
      <c r="D288">
        <v>0</v>
      </c>
      <c r="E288">
        <v>743909.25999999989</v>
      </c>
      <c r="F288">
        <v>0</v>
      </c>
      <c r="G288">
        <v>875296.90132955159</v>
      </c>
      <c r="H288">
        <v>0.84989362908748156</v>
      </c>
    </row>
    <row r="289" spans="1:8" x14ac:dyDescent="0.5">
      <c r="A289" s="1">
        <v>43515</v>
      </c>
      <c r="B289">
        <v>625346.99999999988</v>
      </c>
      <c r="C289">
        <v>118354.46</v>
      </c>
      <c r="D289">
        <v>0</v>
      </c>
      <c r="E289">
        <v>743701.45999999985</v>
      </c>
      <c r="F289">
        <v>0</v>
      </c>
      <c r="G289">
        <v>875296.90132955159</v>
      </c>
      <c r="H289">
        <v>0.84965622392851847</v>
      </c>
    </row>
    <row r="290" spans="1:8" x14ac:dyDescent="0.5">
      <c r="A290" s="1">
        <v>43516</v>
      </c>
      <c r="B290">
        <v>625882.80000000005</v>
      </c>
      <c r="C290">
        <v>118354.46</v>
      </c>
      <c r="D290">
        <v>0</v>
      </c>
      <c r="E290">
        <v>744237.26</v>
      </c>
      <c r="F290">
        <v>0</v>
      </c>
      <c r="G290">
        <v>875296.90132955159</v>
      </c>
      <c r="H290">
        <v>0.85026835907853027</v>
      </c>
    </row>
    <row r="291" spans="1:8" x14ac:dyDescent="0.5">
      <c r="A291" s="1">
        <v>43517</v>
      </c>
      <c r="B291">
        <v>624329.69999999995</v>
      </c>
      <c r="C291">
        <v>118354.46</v>
      </c>
      <c r="D291">
        <v>0</v>
      </c>
      <c r="E291">
        <v>742684.15999999992</v>
      </c>
      <c r="F291">
        <v>0</v>
      </c>
      <c r="G291">
        <v>875296.90132955159</v>
      </c>
      <c r="H291">
        <v>0.84849398972152579</v>
      </c>
    </row>
    <row r="292" spans="1:8" x14ac:dyDescent="0.5">
      <c r="A292" s="1">
        <v>43518</v>
      </c>
      <c r="B292">
        <v>640051.80000000005</v>
      </c>
      <c r="C292">
        <v>118354.46</v>
      </c>
      <c r="D292">
        <v>0</v>
      </c>
      <c r="E292">
        <v>758406.26</v>
      </c>
      <c r="F292">
        <v>0</v>
      </c>
      <c r="G292">
        <v>875296.90132955159</v>
      </c>
      <c r="H292">
        <v>0.86645600921013433</v>
      </c>
    </row>
    <row r="293" spans="1:8" x14ac:dyDescent="0.5">
      <c r="A293" s="1">
        <v>43521</v>
      </c>
      <c r="B293">
        <v>683168.7</v>
      </c>
      <c r="C293">
        <v>118354.46</v>
      </c>
      <c r="D293">
        <v>0</v>
      </c>
      <c r="E293">
        <v>801523.15999999992</v>
      </c>
      <c r="F293">
        <v>0</v>
      </c>
      <c r="G293">
        <v>875296.90132955159</v>
      </c>
      <c r="H293">
        <v>0.9157157517437895</v>
      </c>
    </row>
    <row r="294" spans="1:8" x14ac:dyDescent="0.5">
      <c r="A294" s="1">
        <v>43522</v>
      </c>
      <c r="B294">
        <v>668740</v>
      </c>
      <c r="C294">
        <v>118354.46</v>
      </c>
      <c r="D294">
        <v>0</v>
      </c>
      <c r="E294">
        <v>787094.46</v>
      </c>
      <c r="F294">
        <v>0</v>
      </c>
      <c r="G294">
        <v>875296.90132955159</v>
      </c>
      <c r="H294">
        <v>0.89923140228695586</v>
      </c>
    </row>
    <row r="295" spans="1:8" x14ac:dyDescent="0.5">
      <c r="A295" s="1">
        <v>43523</v>
      </c>
      <c r="B295">
        <v>667482.50000000012</v>
      </c>
      <c r="C295">
        <v>118354.46</v>
      </c>
      <c r="D295">
        <v>0</v>
      </c>
      <c r="E295">
        <v>785836.96000000008</v>
      </c>
      <c r="F295">
        <v>0</v>
      </c>
      <c r="G295">
        <v>875296.90132955159</v>
      </c>
      <c r="H295">
        <v>0.8977947469096893</v>
      </c>
    </row>
    <row r="296" spans="1:8" x14ac:dyDescent="0.5">
      <c r="A296" s="1">
        <v>43524</v>
      </c>
      <c r="B296">
        <v>666027.6</v>
      </c>
      <c r="C296">
        <v>118354.46</v>
      </c>
      <c r="D296">
        <v>0</v>
      </c>
      <c r="E296">
        <v>784382.05999999994</v>
      </c>
      <c r="F296">
        <v>0</v>
      </c>
      <c r="G296">
        <v>875296.90132955159</v>
      </c>
      <c r="H296">
        <v>0.89613256805610242</v>
      </c>
    </row>
    <row r="297" spans="1:8" x14ac:dyDescent="0.5">
      <c r="A297" s="1">
        <v>43525</v>
      </c>
      <c r="B297">
        <v>565902.39999999991</v>
      </c>
      <c r="C297">
        <v>229021.25</v>
      </c>
      <c r="D297">
        <v>0</v>
      </c>
      <c r="E297">
        <v>794923.64999999991</v>
      </c>
      <c r="F297">
        <v>0</v>
      </c>
      <c r="G297">
        <v>875296.90132955159</v>
      </c>
      <c r="H297">
        <v>0.90817601295347106</v>
      </c>
    </row>
    <row r="298" spans="1:8" x14ac:dyDescent="0.5">
      <c r="A298" s="1">
        <v>43528</v>
      </c>
      <c r="B298">
        <v>572057</v>
      </c>
      <c r="C298">
        <v>229021.25</v>
      </c>
      <c r="D298">
        <v>0</v>
      </c>
      <c r="E298">
        <v>801078.25</v>
      </c>
      <c r="F298">
        <v>0</v>
      </c>
      <c r="G298">
        <v>875296.90132955159</v>
      </c>
      <c r="H298">
        <v>0.91520745564526107</v>
      </c>
    </row>
    <row r="299" spans="1:8" x14ac:dyDescent="0.5">
      <c r="A299" s="1">
        <v>43529</v>
      </c>
      <c r="B299">
        <v>578331.19999999995</v>
      </c>
      <c r="C299">
        <v>229021.25</v>
      </c>
      <c r="D299">
        <v>0</v>
      </c>
      <c r="E299">
        <v>807352.45</v>
      </c>
      <c r="F299">
        <v>0</v>
      </c>
      <c r="G299">
        <v>875296.90132955159</v>
      </c>
      <c r="H299">
        <v>0.9223755376874454</v>
      </c>
    </row>
    <row r="300" spans="1:8" x14ac:dyDescent="0.5">
      <c r="A300" s="1">
        <v>43530</v>
      </c>
      <c r="B300">
        <v>582634.9</v>
      </c>
      <c r="C300">
        <v>229021.25</v>
      </c>
      <c r="D300">
        <v>0</v>
      </c>
      <c r="E300">
        <v>811656.15</v>
      </c>
      <c r="F300">
        <v>0</v>
      </c>
      <c r="G300">
        <v>875296.90132955159</v>
      </c>
      <c r="H300">
        <v>0.92729238360962662</v>
      </c>
    </row>
    <row r="301" spans="1:8" x14ac:dyDescent="0.5">
      <c r="A301" s="1">
        <v>43531</v>
      </c>
      <c r="B301">
        <v>576958.60000000009</v>
      </c>
      <c r="C301">
        <v>229021.25</v>
      </c>
      <c r="D301">
        <v>0</v>
      </c>
      <c r="E301">
        <v>805979.85000000009</v>
      </c>
      <c r="F301">
        <v>0</v>
      </c>
      <c r="G301">
        <v>875296.90132955159</v>
      </c>
      <c r="H301">
        <v>0.92080738407246632</v>
      </c>
    </row>
    <row r="302" spans="1:8" x14ac:dyDescent="0.5">
      <c r="A302" s="1">
        <v>43532</v>
      </c>
      <c r="B302">
        <v>558016.79999999993</v>
      </c>
      <c r="C302">
        <v>229021.25</v>
      </c>
      <c r="D302">
        <v>0</v>
      </c>
      <c r="E302">
        <v>787038.04999999993</v>
      </c>
      <c r="F302">
        <v>0</v>
      </c>
      <c r="G302">
        <v>875296.90132955159</v>
      </c>
      <c r="H302">
        <v>0.8991669555833125</v>
      </c>
    </row>
    <row r="303" spans="1:8" x14ac:dyDescent="0.5">
      <c r="A303" s="1">
        <v>43535</v>
      </c>
      <c r="B303">
        <v>568096.80000000005</v>
      </c>
      <c r="C303">
        <v>229021.25</v>
      </c>
      <c r="D303">
        <v>0</v>
      </c>
      <c r="E303">
        <v>797118.05</v>
      </c>
      <c r="F303">
        <v>0</v>
      </c>
      <c r="G303">
        <v>875296.90132955159</v>
      </c>
      <c r="H303">
        <v>0.91068304799114441</v>
      </c>
    </row>
    <row r="304" spans="1:8" x14ac:dyDescent="0.5">
      <c r="A304" s="1">
        <v>43536</v>
      </c>
      <c r="B304">
        <v>575279.5</v>
      </c>
      <c r="C304">
        <v>229021.25</v>
      </c>
      <c r="D304">
        <v>0</v>
      </c>
      <c r="E304">
        <v>804300.75</v>
      </c>
      <c r="F304">
        <v>0</v>
      </c>
      <c r="G304">
        <v>875296.90132955159</v>
      </c>
      <c r="H304">
        <v>0.91888906356036404</v>
      </c>
    </row>
    <row r="305" spans="1:8" x14ac:dyDescent="0.5">
      <c r="A305" s="1">
        <v>43537</v>
      </c>
      <c r="B305">
        <v>569619.10000000009</v>
      </c>
      <c r="C305">
        <v>229021.25</v>
      </c>
      <c r="D305">
        <v>0</v>
      </c>
      <c r="E305">
        <v>798640.35000000009</v>
      </c>
      <c r="F305">
        <v>0</v>
      </c>
      <c r="G305">
        <v>875296.90132955159</v>
      </c>
      <c r="H305">
        <v>0.91242222928801375</v>
      </c>
    </row>
    <row r="306" spans="1:8" x14ac:dyDescent="0.5">
      <c r="A306" s="1">
        <v>43538</v>
      </c>
      <c r="B306">
        <v>563381.60000000009</v>
      </c>
      <c r="C306">
        <v>229021.25</v>
      </c>
      <c r="D306">
        <v>0</v>
      </c>
      <c r="E306">
        <v>792402.85000000009</v>
      </c>
      <c r="F306">
        <v>0</v>
      </c>
      <c r="G306">
        <v>875296.90132955159</v>
      </c>
      <c r="H306">
        <v>0.90529607587592531</v>
      </c>
    </row>
    <row r="307" spans="1:8" x14ac:dyDescent="0.5">
      <c r="A307" s="1">
        <v>43539</v>
      </c>
      <c r="B307">
        <v>569031.80000000005</v>
      </c>
      <c r="C307">
        <v>229021.25</v>
      </c>
      <c r="D307">
        <v>0</v>
      </c>
      <c r="E307">
        <v>798053.05</v>
      </c>
      <c r="F307">
        <v>0</v>
      </c>
      <c r="G307">
        <v>875296.90132955159</v>
      </c>
      <c r="H307">
        <v>0.91175125695952963</v>
      </c>
    </row>
    <row r="308" spans="1:8" x14ac:dyDescent="0.5">
      <c r="A308" s="1">
        <v>43542</v>
      </c>
      <c r="B308">
        <v>584713.10000000009</v>
      </c>
      <c r="C308">
        <v>229021.25</v>
      </c>
      <c r="D308">
        <v>0</v>
      </c>
      <c r="E308">
        <v>813734.35000000009</v>
      </c>
      <c r="F308">
        <v>0</v>
      </c>
      <c r="G308">
        <v>875296.90132955159</v>
      </c>
      <c r="H308">
        <v>0.92966666369315409</v>
      </c>
    </row>
    <row r="309" spans="1:8" x14ac:dyDescent="0.5">
      <c r="A309" s="1">
        <v>43543</v>
      </c>
      <c r="B309">
        <v>582893</v>
      </c>
      <c r="C309">
        <v>229021.25</v>
      </c>
      <c r="D309">
        <v>0</v>
      </c>
      <c r="E309">
        <v>811914.25</v>
      </c>
      <c r="F309">
        <v>0</v>
      </c>
      <c r="G309">
        <v>875296.90132955159</v>
      </c>
      <c r="H309">
        <v>0.92758725498368022</v>
      </c>
    </row>
    <row r="310" spans="1:8" x14ac:dyDescent="0.5">
      <c r="A310" s="1">
        <v>43544</v>
      </c>
      <c r="B310">
        <v>581433.9</v>
      </c>
      <c r="C310">
        <v>229106.31</v>
      </c>
      <c r="D310">
        <v>0</v>
      </c>
      <c r="E310">
        <v>810540.21</v>
      </c>
      <c r="F310">
        <v>0</v>
      </c>
      <c r="G310">
        <v>875296.90132955159</v>
      </c>
      <c r="H310">
        <v>0.92601745621264275</v>
      </c>
    </row>
    <row r="311" spans="1:8" x14ac:dyDescent="0.5">
      <c r="A311" s="1">
        <v>43545</v>
      </c>
      <c r="B311">
        <v>582408.6</v>
      </c>
      <c r="C311">
        <v>229106.31</v>
      </c>
      <c r="D311">
        <v>0</v>
      </c>
      <c r="E311">
        <v>811514.90999999992</v>
      </c>
      <c r="F311">
        <v>0</v>
      </c>
      <c r="G311">
        <v>875296.90132955159</v>
      </c>
      <c r="H311">
        <v>0.92713102121957858</v>
      </c>
    </row>
    <row r="312" spans="1:8" x14ac:dyDescent="0.5">
      <c r="A312" s="1">
        <v>43546</v>
      </c>
      <c r="B312">
        <v>584044.79999999993</v>
      </c>
      <c r="C312">
        <v>229106.31</v>
      </c>
      <c r="D312">
        <v>0</v>
      </c>
      <c r="E312">
        <v>813151.10999999987</v>
      </c>
      <c r="F312">
        <v>0</v>
      </c>
      <c r="G312">
        <v>875296.90132955159</v>
      </c>
      <c r="H312">
        <v>0.9290003297907784</v>
      </c>
    </row>
    <row r="313" spans="1:8" x14ac:dyDescent="0.5">
      <c r="A313" s="1">
        <v>43549</v>
      </c>
      <c r="B313">
        <v>576765.1</v>
      </c>
      <c r="C313">
        <v>229106.31</v>
      </c>
      <c r="D313">
        <v>0</v>
      </c>
      <c r="E313">
        <v>805871.40999999992</v>
      </c>
      <c r="F313">
        <v>0</v>
      </c>
      <c r="G313">
        <v>875296.90132955159</v>
      </c>
      <c r="H313">
        <v>0.92068349468152322</v>
      </c>
    </row>
    <row r="314" spans="1:8" x14ac:dyDescent="0.5">
      <c r="A314" s="1">
        <v>43550</v>
      </c>
      <c r="B314">
        <v>566541.1</v>
      </c>
      <c r="C314">
        <v>229106.31</v>
      </c>
      <c r="D314">
        <v>0</v>
      </c>
      <c r="E314">
        <v>795647.40999999992</v>
      </c>
      <c r="F314">
        <v>0</v>
      </c>
      <c r="G314">
        <v>875296.90132955159</v>
      </c>
      <c r="H314">
        <v>0.90900288666786511</v>
      </c>
    </row>
    <row r="315" spans="1:8" x14ac:dyDescent="0.5">
      <c r="A315" s="1">
        <v>43551</v>
      </c>
      <c r="B315">
        <v>569526.19999999995</v>
      </c>
      <c r="C315">
        <v>229106.31</v>
      </c>
      <c r="D315">
        <v>0</v>
      </c>
      <c r="E315">
        <v>798632.51</v>
      </c>
      <c r="F315">
        <v>0</v>
      </c>
      <c r="G315">
        <v>875296.90132955159</v>
      </c>
      <c r="H315">
        <v>0.912413272327252</v>
      </c>
    </row>
    <row r="316" spans="1:8" x14ac:dyDescent="0.5">
      <c r="A316" s="1">
        <v>43552</v>
      </c>
      <c r="B316">
        <v>567298.20000000007</v>
      </c>
      <c r="C316">
        <v>229106.31</v>
      </c>
      <c r="D316">
        <v>0</v>
      </c>
      <c r="E316">
        <v>796404.51</v>
      </c>
      <c r="F316">
        <v>0</v>
      </c>
      <c r="G316">
        <v>875296.90132955159</v>
      </c>
      <c r="H316">
        <v>0.90986785031488604</v>
      </c>
    </row>
    <row r="317" spans="1:8" x14ac:dyDescent="0.5">
      <c r="A317" s="1">
        <v>43553</v>
      </c>
      <c r="B317">
        <v>589395.19999999995</v>
      </c>
      <c r="C317">
        <v>229106.31</v>
      </c>
      <c r="D317">
        <v>0</v>
      </c>
      <c r="E317">
        <v>818501.51</v>
      </c>
      <c r="F317">
        <v>0</v>
      </c>
      <c r="G317">
        <v>875296.90132955159</v>
      </c>
      <c r="H317">
        <v>0.93511299852280871</v>
      </c>
    </row>
    <row r="318" spans="1:8" x14ac:dyDescent="0.5">
      <c r="A318" s="1">
        <v>43556</v>
      </c>
      <c r="B318">
        <v>607026.10000000009</v>
      </c>
      <c r="C318">
        <v>229106.31</v>
      </c>
      <c r="D318">
        <v>0</v>
      </c>
      <c r="E318">
        <v>836132.41000000015</v>
      </c>
      <c r="F318">
        <v>0</v>
      </c>
      <c r="G318">
        <v>875296.90132955159</v>
      </c>
      <c r="H318">
        <v>0.95525576376420196</v>
      </c>
    </row>
    <row r="319" spans="1:8" x14ac:dyDescent="0.5">
      <c r="A319" s="1">
        <v>43557</v>
      </c>
      <c r="B319">
        <v>606403.39999999991</v>
      </c>
      <c r="C319">
        <v>229106.31</v>
      </c>
      <c r="D319">
        <v>0</v>
      </c>
      <c r="E319">
        <v>835509.71</v>
      </c>
      <c r="F319">
        <v>0</v>
      </c>
      <c r="G319">
        <v>875296.90132955159</v>
      </c>
      <c r="H319">
        <v>0.95454434801595212</v>
      </c>
    </row>
    <row r="320" spans="1:8" x14ac:dyDescent="0.5">
      <c r="A320" s="1">
        <v>43558</v>
      </c>
      <c r="B320">
        <v>613674.19999999995</v>
      </c>
      <c r="C320">
        <v>229106.31</v>
      </c>
      <c r="D320">
        <v>0</v>
      </c>
      <c r="E320">
        <v>842780.51</v>
      </c>
      <c r="F320">
        <v>0</v>
      </c>
      <c r="G320">
        <v>875296.90132955159</v>
      </c>
      <c r="H320">
        <v>0.96285101514679183</v>
      </c>
    </row>
    <row r="321" spans="1:8" x14ac:dyDescent="0.5">
      <c r="A321" s="1">
        <v>43559</v>
      </c>
      <c r="B321">
        <v>619640.30000000005</v>
      </c>
      <c r="C321">
        <v>229106.31</v>
      </c>
      <c r="D321">
        <v>0</v>
      </c>
      <c r="E321">
        <v>848746.6100000001</v>
      </c>
      <c r="F321">
        <v>0</v>
      </c>
      <c r="G321">
        <v>875296.90132955159</v>
      </c>
      <c r="H321">
        <v>0.96966710234067743</v>
      </c>
    </row>
    <row r="322" spans="1:8" x14ac:dyDescent="0.5">
      <c r="A322" s="1">
        <v>43563</v>
      </c>
      <c r="B322">
        <v>614724.20000000007</v>
      </c>
      <c r="C322">
        <v>229106.31</v>
      </c>
      <c r="D322">
        <v>0</v>
      </c>
      <c r="E322">
        <v>843830.51</v>
      </c>
      <c r="F322">
        <v>0</v>
      </c>
      <c r="G322">
        <v>875296.90132955159</v>
      </c>
      <c r="H322">
        <v>0.96405060810594101</v>
      </c>
    </row>
    <row r="323" spans="1:8" x14ac:dyDescent="0.5">
      <c r="A323" s="1">
        <v>43564</v>
      </c>
      <c r="B323">
        <v>616824.1</v>
      </c>
      <c r="C323">
        <v>229106.31</v>
      </c>
      <c r="D323">
        <v>0</v>
      </c>
      <c r="E323">
        <v>845930.40999999992</v>
      </c>
      <c r="F323">
        <v>0</v>
      </c>
      <c r="G323">
        <v>875296.90132955159</v>
      </c>
      <c r="H323">
        <v>0.96644967977729068</v>
      </c>
    </row>
    <row r="324" spans="1:8" x14ac:dyDescent="0.5">
      <c r="A324" s="1">
        <v>43565</v>
      </c>
      <c r="B324">
        <v>616769</v>
      </c>
      <c r="C324">
        <v>229106.31</v>
      </c>
      <c r="D324">
        <v>0</v>
      </c>
      <c r="E324">
        <v>845875.31</v>
      </c>
      <c r="F324">
        <v>0</v>
      </c>
      <c r="G324">
        <v>875296.90132955159</v>
      </c>
      <c r="H324">
        <v>0.96638672970867256</v>
      </c>
    </row>
    <row r="325" spans="1:8" x14ac:dyDescent="0.5">
      <c r="A325" s="1">
        <v>43566</v>
      </c>
      <c r="B325">
        <v>606331.20000000007</v>
      </c>
      <c r="C325">
        <v>229106.31</v>
      </c>
      <c r="D325">
        <v>0</v>
      </c>
      <c r="E325">
        <v>835437.51</v>
      </c>
      <c r="F325">
        <v>0</v>
      </c>
      <c r="G325">
        <v>875296.90132955159</v>
      </c>
      <c r="H325">
        <v>0.95446186171914205</v>
      </c>
    </row>
    <row r="326" spans="1:8" x14ac:dyDescent="0.5">
      <c r="A326" s="1">
        <v>43567</v>
      </c>
      <c r="B326">
        <v>604609.6</v>
      </c>
      <c r="C326">
        <v>229106.31</v>
      </c>
      <c r="D326">
        <v>0</v>
      </c>
      <c r="E326">
        <v>833715.90999999992</v>
      </c>
      <c r="F326">
        <v>0</v>
      </c>
      <c r="G326">
        <v>875296.90132955159</v>
      </c>
      <c r="H326">
        <v>0.95249498625393136</v>
      </c>
    </row>
    <row r="327" spans="1:8" x14ac:dyDescent="0.5">
      <c r="A327" s="1">
        <v>43570</v>
      </c>
      <c r="B327">
        <v>601334.9</v>
      </c>
      <c r="C327">
        <v>229106.31</v>
      </c>
      <c r="D327">
        <v>0</v>
      </c>
      <c r="E327">
        <v>830441.21</v>
      </c>
      <c r="F327">
        <v>0</v>
      </c>
      <c r="G327">
        <v>875296.90132955159</v>
      </c>
      <c r="H327">
        <v>0.94875374143171642</v>
      </c>
    </row>
    <row r="328" spans="1:8" x14ac:dyDescent="0.5">
      <c r="A328" s="1">
        <v>43571</v>
      </c>
      <c r="B328">
        <v>617482.6</v>
      </c>
      <c r="C328">
        <v>229106.31</v>
      </c>
      <c r="D328">
        <v>0</v>
      </c>
      <c r="E328">
        <v>846588.90999999992</v>
      </c>
      <c r="F328">
        <v>0</v>
      </c>
      <c r="G328">
        <v>875296.90132955159</v>
      </c>
      <c r="H328">
        <v>0.96720199593309997</v>
      </c>
    </row>
    <row r="329" spans="1:8" x14ac:dyDescent="0.5">
      <c r="A329" s="1">
        <v>43572</v>
      </c>
      <c r="B329">
        <v>616426.30000000005</v>
      </c>
      <c r="C329">
        <v>229106.31</v>
      </c>
      <c r="D329">
        <v>0</v>
      </c>
      <c r="E329">
        <v>845532.6100000001</v>
      </c>
      <c r="F329">
        <v>0</v>
      </c>
      <c r="G329">
        <v>875296.90132955159</v>
      </c>
      <c r="H329">
        <v>0.9659952054161961</v>
      </c>
    </row>
    <row r="330" spans="1:8" x14ac:dyDescent="0.5">
      <c r="A330" s="1">
        <v>43573</v>
      </c>
      <c r="B330">
        <v>616175</v>
      </c>
      <c r="C330">
        <v>229106.31</v>
      </c>
      <c r="D330">
        <v>0</v>
      </c>
      <c r="E330">
        <v>845281.31</v>
      </c>
      <c r="F330">
        <v>0</v>
      </c>
      <c r="G330">
        <v>875296.90132955159</v>
      </c>
      <c r="H330">
        <v>0.9657081028346397</v>
      </c>
    </row>
    <row r="331" spans="1:8" x14ac:dyDescent="0.5">
      <c r="A331" s="1">
        <v>43574</v>
      </c>
      <c r="B331">
        <v>622869.70000000007</v>
      </c>
      <c r="C331">
        <v>229106.31</v>
      </c>
      <c r="D331">
        <v>0</v>
      </c>
      <c r="E331">
        <v>851976.01</v>
      </c>
      <c r="F331">
        <v>0</v>
      </c>
      <c r="G331">
        <v>875296.90132955159</v>
      </c>
      <c r="H331">
        <v>0.97335659329522617</v>
      </c>
    </row>
    <row r="332" spans="1:8" x14ac:dyDescent="0.5">
      <c r="A332" s="1">
        <v>43577</v>
      </c>
      <c r="B332">
        <v>609492.09999999986</v>
      </c>
      <c r="C332">
        <v>229106.31</v>
      </c>
      <c r="D332">
        <v>0</v>
      </c>
      <c r="E332">
        <v>838598.40999999992</v>
      </c>
      <c r="F332">
        <v>0</v>
      </c>
      <c r="G332">
        <v>875296.90132955159</v>
      </c>
      <c r="H332">
        <v>0.95807309351397485</v>
      </c>
    </row>
    <row r="333" spans="1:8" x14ac:dyDescent="0.5">
      <c r="A333" s="1">
        <v>43578</v>
      </c>
      <c r="B333">
        <v>604721.80000000005</v>
      </c>
      <c r="C333">
        <v>229106.31</v>
      </c>
      <c r="D333">
        <v>0</v>
      </c>
      <c r="E333">
        <v>833828.1100000001</v>
      </c>
      <c r="F333">
        <v>0</v>
      </c>
      <c r="G333">
        <v>875296.90132955159</v>
      </c>
      <c r="H333">
        <v>0.95262317133013774</v>
      </c>
    </row>
    <row r="334" spans="1:8" x14ac:dyDescent="0.5">
      <c r="A334" s="1">
        <v>43579</v>
      </c>
      <c r="B334">
        <v>606717.49999999988</v>
      </c>
      <c r="C334">
        <v>229106.31</v>
      </c>
      <c r="D334">
        <v>0</v>
      </c>
      <c r="E334">
        <v>835823.80999999982</v>
      </c>
      <c r="F334">
        <v>0</v>
      </c>
      <c r="G334">
        <v>875296.90132955159</v>
      </c>
      <c r="H334">
        <v>0.95490319768116028</v>
      </c>
    </row>
    <row r="335" spans="1:8" x14ac:dyDescent="0.5">
      <c r="A335" s="1">
        <v>43580</v>
      </c>
      <c r="B335">
        <v>592115.30000000005</v>
      </c>
      <c r="C335">
        <v>229106.31</v>
      </c>
      <c r="D335">
        <v>0</v>
      </c>
      <c r="E335">
        <v>821221.6100000001</v>
      </c>
      <c r="F335">
        <v>0</v>
      </c>
      <c r="G335">
        <v>875296.90132955159</v>
      </c>
      <c r="H335">
        <v>0.93822062976869602</v>
      </c>
    </row>
    <row r="336" spans="1:8" x14ac:dyDescent="0.5">
      <c r="A336" s="1">
        <v>43581</v>
      </c>
      <c r="B336">
        <v>585451.89999999991</v>
      </c>
      <c r="C336">
        <v>229106.31</v>
      </c>
      <c r="D336">
        <v>0</v>
      </c>
      <c r="E336">
        <v>814558.21</v>
      </c>
      <c r="F336">
        <v>0</v>
      </c>
      <c r="G336">
        <v>875296.90132955159</v>
      </c>
      <c r="H336">
        <v>0.93060789860298687</v>
      </c>
    </row>
    <row r="337" spans="1:8" x14ac:dyDescent="0.5">
      <c r="A337" s="1">
        <v>43584</v>
      </c>
      <c r="B337">
        <v>583865.39999999991</v>
      </c>
      <c r="C337">
        <v>229106.31</v>
      </c>
      <c r="D337">
        <v>0</v>
      </c>
      <c r="E337">
        <v>812971.71</v>
      </c>
      <c r="F337">
        <v>0</v>
      </c>
      <c r="G337">
        <v>875296.90132955159</v>
      </c>
      <c r="H337">
        <v>0.92879537076518681</v>
      </c>
    </row>
    <row r="338" spans="1:8" x14ac:dyDescent="0.5">
      <c r="A338" s="1">
        <v>43585</v>
      </c>
      <c r="B338">
        <v>585192.19999999995</v>
      </c>
      <c r="C338">
        <v>229106.31</v>
      </c>
      <c r="D338">
        <v>0</v>
      </c>
      <c r="E338">
        <v>814298.51</v>
      </c>
      <c r="F338">
        <v>0</v>
      </c>
      <c r="G338">
        <v>875296.90132955159</v>
      </c>
      <c r="H338">
        <v>0.93031119927775741</v>
      </c>
    </row>
    <row r="339" spans="1:8" x14ac:dyDescent="0.5">
      <c r="A339" s="1">
        <v>43591</v>
      </c>
      <c r="B339">
        <v>550806.6</v>
      </c>
      <c r="C339">
        <v>229106.31</v>
      </c>
      <c r="D339">
        <v>0</v>
      </c>
      <c r="E339">
        <v>779912.90999999992</v>
      </c>
      <c r="F339">
        <v>0</v>
      </c>
      <c r="G339">
        <v>875296.90132955159</v>
      </c>
      <c r="H339">
        <v>0.89102670055764388</v>
      </c>
    </row>
    <row r="340" spans="1:8" x14ac:dyDescent="0.5">
      <c r="A340" s="1">
        <v>43592</v>
      </c>
      <c r="B340">
        <v>555877.79999999993</v>
      </c>
      <c r="C340">
        <v>229106.31</v>
      </c>
      <c r="D340">
        <v>0</v>
      </c>
      <c r="E340">
        <v>784984.10999999987</v>
      </c>
      <c r="F340">
        <v>0</v>
      </c>
      <c r="G340">
        <v>875296.90132955159</v>
      </c>
      <c r="H340">
        <v>0.89682039180948869</v>
      </c>
    </row>
    <row r="341" spans="1:8" x14ac:dyDescent="0.5">
      <c r="A341" s="1">
        <v>43593</v>
      </c>
      <c r="B341">
        <v>572362.89999999991</v>
      </c>
      <c r="C341">
        <v>207031.69</v>
      </c>
      <c r="D341">
        <v>0</v>
      </c>
      <c r="E341">
        <v>779394.58999999985</v>
      </c>
      <c r="F341">
        <v>0</v>
      </c>
      <c r="G341">
        <v>875296.90132955159</v>
      </c>
      <c r="H341">
        <v>0.89043453577422838</v>
      </c>
    </row>
    <row r="342" spans="1:8" x14ac:dyDescent="0.5">
      <c r="A342" s="1">
        <v>43594</v>
      </c>
      <c r="B342">
        <v>566036.70000000007</v>
      </c>
      <c r="C342">
        <v>207031.69</v>
      </c>
      <c r="D342">
        <v>0</v>
      </c>
      <c r="E342">
        <v>773068.39000000013</v>
      </c>
      <c r="F342">
        <v>0</v>
      </c>
      <c r="G342">
        <v>875296.90132955159</v>
      </c>
      <c r="H342">
        <v>0.88320704531882932</v>
      </c>
    </row>
    <row r="343" spans="1:8" x14ac:dyDescent="0.5">
      <c r="A343" s="1">
        <v>43595</v>
      </c>
      <c r="B343">
        <v>584223.4</v>
      </c>
      <c r="C343">
        <v>207031.69</v>
      </c>
      <c r="D343">
        <v>0</v>
      </c>
      <c r="E343">
        <v>791255.09000000008</v>
      </c>
      <c r="F343">
        <v>0</v>
      </c>
      <c r="G343">
        <v>875296.90132955159</v>
      </c>
      <c r="H343">
        <v>0.90398479509993201</v>
      </c>
    </row>
    <row r="344" spans="1:8" x14ac:dyDescent="0.5">
      <c r="A344" s="1">
        <v>43598</v>
      </c>
      <c r="B344">
        <v>575822.9</v>
      </c>
      <c r="C344">
        <v>206456.49</v>
      </c>
      <c r="D344">
        <v>0</v>
      </c>
      <c r="E344">
        <v>782279.39</v>
      </c>
      <c r="F344">
        <v>0</v>
      </c>
      <c r="G344">
        <v>875296.90132955159</v>
      </c>
      <c r="H344">
        <v>0.89373033174427952</v>
      </c>
    </row>
    <row r="345" spans="1:8" x14ac:dyDescent="0.5">
      <c r="A345" s="1">
        <v>43599</v>
      </c>
      <c r="B345">
        <v>572320.19999999995</v>
      </c>
      <c r="C345">
        <v>206456.49</v>
      </c>
      <c r="D345">
        <v>0</v>
      </c>
      <c r="E345">
        <v>778776.69</v>
      </c>
      <c r="F345">
        <v>0</v>
      </c>
      <c r="G345">
        <v>875296.90132955159</v>
      </c>
      <c r="H345">
        <v>0.88972860387950636</v>
      </c>
    </row>
    <row r="346" spans="1:8" x14ac:dyDescent="0.5">
      <c r="A346" s="1">
        <v>43600</v>
      </c>
      <c r="B346">
        <v>582222.79999999993</v>
      </c>
      <c r="C346">
        <v>206456.49</v>
      </c>
      <c r="D346">
        <v>0</v>
      </c>
      <c r="E346">
        <v>788679.28999999992</v>
      </c>
      <c r="F346">
        <v>0</v>
      </c>
      <c r="G346">
        <v>875296.90132955159</v>
      </c>
      <c r="H346">
        <v>0.90104202220071616</v>
      </c>
    </row>
    <row r="347" spans="1:8" x14ac:dyDescent="0.5">
      <c r="A347" s="1">
        <v>43601</v>
      </c>
      <c r="B347">
        <v>586636.49999999988</v>
      </c>
      <c r="C347">
        <v>206456.49</v>
      </c>
      <c r="D347">
        <v>0</v>
      </c>
      <c r="E347">
        <v>793092.98999999987</v>
      </c>
      <c r="F347">
        <v>0</v>
      </c>
      <c r="G347">
        <v>875296.90132955159</v>
      </c>
      <c r="H347">
        <v>0.90608453976623671</v>
      </c>
    </row>
    <row r="348" spans="1:8" x14ac:dyDescent="0.5">
      <c r="A348" s="1">
        <v>43602</v>
      </c>
      <c r="B348">
        <v>572441.60000000009</v>
      </c>
      <c r="C348">
        <v>206456.49</v>
      </c>
      <c r="D348">
        <v>0</v>
      </c>
      <c r="E348">
        <v>778898.09000000008</v>
      </c>
      <c r="F348">
        <v>0</v>
      </c>
      <c r="G348">
        <v>875296.90132955159</v>
      </c>
      <c r="H348">
        <v>0.8898672996749738</v>
      </c>
    </row>
    <row r="349" spans="1:8" x14ac:dyDescent="0.5">
      <c r="A349" s="1">
        <v>43605</v>
      </c>
      <c r="B349">
        <v>572372.6</v>
      </c>
      <c r="C349">
        <v>206456.49</v>
      </c>
      <c r="D349">
        <v>0</v>
      </c>
      <c r="E349">
        <v>778829.09</v>
      </c>
      <c r="F349">
        <v>0</v>
      </c>
      <c r="G349">
        <v>875296.90132955159</v>
      </c>
      <c r="H349">
        <v>0.88978846928051536</v>
      </c>
    </row>
    <row r="350" spans="1:8" x14ac:dyDescent="0.5">
      <c r="A350" s="1">
        <v>43606</v>
      </c>
      <c r="B350">
        <v>579168.69999999995</v>
      </c>
      <c r="C350">
        <v>206456.49</v>
      </c>
      <c r="D350">
        <v>0</v>
      </c>
      <c r="E350">
        <v>785625.19</v>
      </c>
      <c r="F350">
        <v>0</v>
      </c>
      <c r="G350">
        <v>875296.90132955159</v>
      </c>
      <c r="H350">
        <v>0.89755280614687105</v>
      </c>
    </row>
    <row r="351" spans="1:8" x14ac:dyDescent="0.5">
      <c r="A351" s="1">
        <v>43607</v>
      </c>
      <c r="B351">
        <v>577223.30000000005</v>
      </c>
      <c r="C351">
        <v>206456.49</v>
      </c>
      <c r="D351">
        <v>0</v>
      </c>
      <c r="E351">
        <v>783679.79</v>
      </c>
      <c r="F351">
        <v>0</v>
      </c>
      <c r="G351">
        <v>875296.90132955159</v>
      </c>
      <c r="H351">
        <v>0.89533024601093902</v>
      </c>
    </row>
    <row r="352" spans="1:8" x14ac:dyDescent="0.5">
      <c r="A352" s="1">
        <v>43608</v>
      </c>
      <c r="B352">
        <v>569044.79999999993</v>
      </c>
      <c r="C352">
        <v>206456.49</v>
      </c>
      <c r="D352">
        <v>0</v>
      </c>
      <c r="E352">
        <v>775501.28999999992</v>
      </c>
      <c r="F352">
        <v>0</v>
      </c>
      <c r="G352">
        <v>875296.90132955159</v>
      </c>
      <c r="H352">
        <v>0.88598655932865189</v>
      </c>
    </row>
    <row r="353" spans="1:8" x14ac:dyDescent="0.5">
      <c r="A353" s="1">
        <v>43609</v>
      </c>
      <c r="B353">
        <v>564542.69999999995</v>
      </c>
      <c r="C353">
        <v>206456.49</v>
      </c>
      <c r="D353">
        <v>0</v>
      </c>
      <c r="E353">
        <v>770999.19</v>
      </c>
      <c r="F353">
        <v>0</v>
      </c>
      <c r="G353">
        <v>875296.90132955159</v>
      </c>
      <c r="H353">
        <v>0.88084304746066577</v>
      </c>
    </row>
    <row r="354" spans="1:8" x14ac:dyDescent="0.5">
      <c r="A354" s="1">
        <v>43612</v>
      </c>
      <c r="B354">
        <v>575676.1</v>
      </c>
      <c r="C354">
        <v>206456.49</v>
      </c>
      <c r="D354">
        <v>0</v>
      </c>
      <c r="E354">
        <v>782132.59</v>
      </c>
      <c r="F354">
        <v>0</v>
      </c>
      <c r="G354">
        <v>875296.90132955159</v>
      </c>
      <c r="H354">
        <v>0.89356261722389552</v>
      </c>
    </row>
    <row r="355" spans="1:8" x14ac:dyDescent="0.5">
      <c r="A355" s="1">
        <v>43613</v>
      </c>
      <c r="B355">
        <v>576352.9</v>
      </c>
      <c r="C355">
        <v>206456.49</v>
      </c>
      <c r="D355">
        <v>0</v>
      </c>
      <c r="E355">
        <v>782809.39</v>
      </c>
      <c r="F355">
        <v>0</v>
      </c>
      <c r="G355">
        <v>875296.90132955159</v>
      </c>
      <c r="H355">
        <v>0.89433584057127857</v>
      </c>
    </row>
    <row r="356" spans="1:8" x14ac:dyDescent="0.5">
      <c r="A356" s="1">
        <v>43614</v>
      </c>
      <c r="B356">
        <v>576941.70000000007</v>
      </c>
      <c r="C356">
        <v>206456.49</v>
      </c>
      <c r="D356">
        <v>0</v>
      </c>
      <c r="E356">
        <v>783398.19000000006</v>
      </c>
      <c r="F356">
        <v>0</v>
      </c>
      <c r="G356">
        <v>875296.90132955159</v>
      </c>
      <c r="H356">
        <v>0.89500852660399011</v>
      </c>
    </row>
    <row r="357" spans="1:8" x14ac:dyDescent="0.5">
      <c r="A357" s="1">
        <v>43615</v>
      </c>
      <c r="B357">
        <v>575078.1</v>
      </c>
      <c r="C357">
        <v>206456.49</v>
      </c>
      <c r="D357">
        <v>0</v>
      </c>
      <c r="E357">
        <v>781534.59</v>
      </c>
      <c r="F357">
        <v>0</v>
      </c>
      <c r="G357">
        <v>875296.90132955159</v>
      </c>
      <c r="H357">
        <v>0.89287942047192292</v>
      </c>
    </row>
    <row r="358" spans="1:8" x14ac:dyDescent="0.5">
      <c r="A358" s="1">
        <v>43616</v>
      </c>
      <c r="B358">
        <v>573156.29999999993</v>
      </c>
      <c r="C358">
        <v>206456.49</v>
      </c>
      <c r="D358">
        <v>0</v>
      </c>
      <c r="E358">
        <v>779612.78999999992</v>
      </c>
      <c r="F358">
        <v>0</v>
      </c>
      <c r="G358">
        <v>875296.90132955159</v>
      </c>
      <c r="H358">
        <v>0.89068382261583445</v>
      </c>
    </row>
    <row r="359" spans="1:8" x14ac:dyDescent="0.5">
      <c r="A359" s="1">
        <v>43619</v>
      </c>
      <c r="B359">
        <v>571651</v>
      </c>
      <c r="C359">
        <v>206456.49</v>
      </c>
      <c r="D359">
        <v>0</v>
      </c>
      <c r="E359">
        <v>778107.49</v>
      </c>
      <c r="F359">
        <v>0</v>
      </c>
      <c r="G359">
        <v>875296.90132955159</v>
      </c>
      <c r="H359">
        <v>0.88896406330020861</v>
      </c>
    </row>
    <row r="360" spans="1:8" x14ac:dyDescent="0.5">
      <c r="A360" s="1">
        <v>43620</v>
      </c>
      <c r="B360">
        <v>564601.89999999991</v>
      </c>
      <c r="C360">
        <v>206456.49</v>
      </c>
      <c r="D360">
        <v>0</v>
      </c>
      <c r="E360">
        <v>771058.3899999999</v>
      </c>
      <c r="F360">
        <v>0</v>
      </c>
      <c r="G360">
        <v>875296.90132955159</v>
      </c>
      <c r="H360">
        <v>0.88091068165417208</v>
      </c>
    </row>
    <row r="361" spans="1:8" x14ac:dyDescent="0.5">
      <c r="A361" s="1">
        <v>43621</v>
      </c>
      <c r="B361">
        <v>563320.1</v>
      </c>
      <c r="C361">
        <v>206456.49</v>
      </c>
      <c r="D361">
        <v>0</v>
      </c>
      <c r="E361">
        <v>769776.59</v>
      </c>
      <c r="F361">
        <v>0</v>
      </c>
      <c r="G361">
        <v>875296.90132955159</v>
      </c>
      <c r="H361">
        <v>0.87944626426842232</v>
      </c>
    </row>
    <row r="362" spans="1:8" x14ac:dyDescent="0.5">
      <c r="A362" s="1">
        <v>43622</v>
      </c>
      <c r="B362">
        <v>556168.49999999988</v>
      </c>
      <c r="C362">
        <v>206456.49</v>
      </c>
      <c r="D362">
        <v>0</v>
      </c>
      <c r="E362">
        <v>762624.98999999987</v>
      </c>
      <c r="F362">
        <v>0</v>
      </c>
      <c r="G362">
        <v>875296.90132955159</v>
      </c>
      <c r="H362">
        <v>0.87127577950018309</v>
      </c>
    </row>
    <row r="363" spans="1:8" x14ac:dyDescent="0.5">
      <c r="A363" s="1">
        <v>43626</v>
      </c>
      <c r="B363">
        <v>562737.20000000007</v>
      </c>
      <c r="C363">
        <v>206456.49</v>
      </c>
      <c r="D363">
        <v>0</v>
      </c>
      <c r="E363">
        <v>769193.69000000006</v>
      </c>
      <c r="F363">
        <v>0</v>
      </c>
      <c r="G363">
        <v>875296.90132955159</v>
      </c>
      <c r="H363">
        <v>0.87878031880567187</v>
      </c>
    </row>
    <row r="364" spans="1:8" x14ac:dyDescent="0.5">
      <c r="A364" s="1">
        <v>43627</v>
      </c>
      <c r="B364">
        <v>579650.29999999993</v>
      </c>
      <c r="C364">
        <v>206456.49</v>
      </c>
      <c r="D364">
        <v>0</v>
      </c>
      <c r="E364">
        <v>786106.78999999992</v>
      </c>
      <c r="F364">
        <v>0</v>
      </c>
      <c r="G364">
        <v>875296.90132955159</v>
      </c>
      <c r="H364">
        <v>0.89810301945080073</v>
      </c>
    </row>
    <row r="365" spans="1:8" x14ac:dyDescent="0.5">
      <c r="A365" s="1">
        <v>43628</v>
      </c>
      <c r="B365">
        <v>683011.70000000007</v>
      </c>
      <c r="C365">
        <v>103286.63999999998</v>
      </c>
      <c r="D365">
        <v>0</v>
      </c>
      <c r="E365">
        <v>786298.34000000008</v>
      </c>
      <c r="F365">
        <v>0</v>
      </c>
      <c r="G365">
        <v>875296.90132955159</v>
      </c>
      <c r="H365">
        <v>0.89832185948063437</v>
      </c>
    </row>
    <row r="366" spans="1:8" x14ac:dyDescent="0.5">
      <c r="A366" s="1">
        <v>43629</v>
      </c>
      <c r="B366">
        <v>680916.3</v>
      </c>
      <c r="C366">
        <v>103286.63999999998</v>
      </c>
      <c r="D366">
        <v>0</v>
      </c>
      <c r="E366">
        <v>784202.94000000006</v>
      </c>
      <c r="F366">
        <v>0</v>
      </c>
      <c r="G366">
        <v>875296.90132955159</v>
      </c>
      <c r="H366">
        <v>0.8959279289219666</v>
      </c>
    </row>
    <row r="367" spans="1:8" x14ac:dyDescent="0.5">
      <c r="A367" s="1">
        <v>43630</v>
      </c>
      <c r="B367">
        <v>672271.8</v>
      </c>
      <c r="C367">
        <v>103286.63999999998</v>
      </c>
      <c r="D367">
        <v>0</v>
      </c>
      <c r="E367">
        <v>775558.44000000006</v>
      </c>
      <c r="F367">
        <v>0</v>
      </c>
      <c r="G367">
        <v>875296.90132955159</v>
      </c>
      <c r="H367">
        <v>0.88605185145971432</v>
      </c>
    </row>
    <row r="368" spans="1:8" x14ac:dyDescent="0.5">
      <c r="A368" s="1">
        <v>43633</v>
      </c>
      <c r="B368">
        <v>646982.69999999995</v>
      </c>
      <c r="C368">
        <v>125300.02999999998</v>
      </c>
      <c r="D368">
        <v>0</v>
      </c>
      <c r="E368">
        <v>772282.73</v>
      </c>
      <c r="F368">
        <v>0</v>
      </c>
      <c r="G368">
        <v>875296.90132955159</v>
      </c>
      <c r="H368">
        <v>0.88230945274331951</v>
      </c>
    </row>
    <row r="369" spans="1:8" x14ac:dyDescent="0.5">
      <c r="A369" s="1">
        <v>43634</v>
      </c>
      <c r="B369">
        <v>644426.30000000005</v>
      </c>
      <c r="C369">
        <v>45300.029999999984</v>
      </c>
      <c r="D369">
        <v>-80000</v>
      </c>
      <c r="E369">
        <v>689726.33000000007</v>
      </c>
      <c r="F369">
        <v>-90671.135565033459</v>
      </c>
      <c r="G369">
        <v>784625.76576451818</v>
      </c>
      <c r="H369">
        <v>0.8790513389882747</v>
      </c>
    </row>
    <row r="370" spans="1:8" x14ac:dyDescent="0.5">
      <c r="A370" s="1">
        <v>43635</v>
      </c>
      <c r="B370">
        <v>658155.30000000005</v>
      </c>
      <c r="C370">
        <v>45300.029999999984</v>
      </c>
      <c r="D370">
        <v>0</v>
      </c>
      <c r="E370">
        <v>703455.33000000007</v>
      </c>
      <c r="F370">
        <v>0</v>
      </c>
      <c r="G370">
        <v>784625.76576451818</v>
      </c>
      <c r="H370">
        <v>0.89654885257887518</v>
      </c>
    </row>
    <row r="371" spans="1:8" x14ac:dyDescent="0.5">
      <c r="A371" s="1">
        <v>43636</v>
      </c>
      <c r="B371">
        <v>672013.4</v>
      </c>
      <c r="C371">
        <v>45400.429999999986</v>
      </c>
      <c r="D371">
        <v>0</v>
      </c>
      <c r="E371">
        <v>717413.83</v>
      </c>
      <c r="F371">
        <v>0</v>
      </c>
      <c r="G371">
        <v>784625.76576451818</v>
      </c>
      <c r="H371">
        <v>0.91433886229949546</v>
      </c>
    </row>
    <row r="372" spans="1:8" x14ac:dyDescent="0.5">
      <c r="A372" s="1">
        <v>43637</v>
      </c>
      <c r="B372">
        <v>679052</v>
      </c>
      <c r="C372">
        <v>45400.429999999986</v>
      </c>
      <c r="D372">
        <v>0</v>
      </c>
      <c r="E372">
        <v>724452.42999999993</v>
      </c>
      <c r="F372">
        <v>0</v>
      </c>
      <c r="G372">
        <v>784625.76576451818</v>
      </c>
      <c r="H372">
        <v>0.92330950831586955</v>
      </c>
    </row>
    <row r="373" spans="1:8" x14ac:dyDescent="0.5">
      <c r="A373" s="1">
        <v>43640</v>
      </c>
      <c r="B373">
        <v>678639.9</v>
      </c>
      <c r="C373">
        <v>45400.429999999986</v>
      </c>
      <c r="D373">
        <v>0</v>
      </c>
      <c r="E373">
        <v>724040.33</v>
      </c>
      <c r="F373">
        <v>0</v>
      </c>
      <c r="G373">
        <v>784625.76576451818</v>
      </c>
      <c r="H373">
        <v>0.92278428977477511</v>
      </c>
    </row>
    <row r="374" spans="1:8" x14ac:dyDescent="0.5">
      <c r="A374" s="1">
        <v>43641</v>
      </c>
      <c r="B374">
        <v>671474.89999999991</v>
      </c>
      <c r="C374">
        <v>45400.429999999986</v>
      </c>
      <c r="D374">
        <v>0</v>
      </c>
      <c r="E374">
        <v>716875.32999999984</v>
      </c>
      <c r="F374">
        <v>0</v>
      </c>
      <c r="G374">
        <v>784625.76576451818</v>
      </c>
      <c r="H374">
        <v>0.91365254785062511</v>
      </c>
    </row>
    <row r="375" spans="1:8" x14ac:dyDescent="0.5">
      <c r="A375" s="1">
        <v>43642</v>
      </c>
      <c r="B375">
        <v>675275.7</v>
      </c>
      <c r="C375">
        <v>45400.429999999986</v>
      </c>
      <c r="D375">
        <v>0</v>
      </c>
      <c r="E375">
        <v>720676.12999999989</v>
      </c>
      <c r="F375">
        <v>0</v>
      </c>
      <c r="G375">
        <v>784625.76576451818</v>
      </c>
      <c r="H375">
        <v>0.91849664062177783</v>
      </c>
    </row>
    <row r="376" spans="1:8" x14ac:dyDescent="0.5">
      <c r="A376" s="1">
        <v>43643</v>
      </c>
      <c r="B376">
        <v>683601.10000000009</v>
      </c>
      <c r="C376">
        <v>45400.429999999986</v>
      </c>
      <c r="D376">
        <v>0</v>
      </c>
      <c r="E376">
        <v>729001.53</v>
      </c>
      <c r="F376">
        <v>0</v>
      </c>
      <c r="G376">
        <v>784625.76576451818</v>
      </c>
      <c r="H376">
        <v>0.92910730415496945</v>
      </c>
    </row>
    <row r="377" spans="1:8" x14ac:dyDescent="0.5">
      <c r="A377" s="1">
        <v>43644</v>
      </c>
      <c r="B377">
        <v>677441.29999999993</v>
      </c>
      <c r="C377">
        <v>45400.429999999986</v>
      </c>
      <c r="D377">
        <v>0</v>
      </c>
      <c r="E377">
        <v>722841.72999999986</v>
      </c>
      <c r="F377">
        <v>0</v>
      </c>
      <c r="G377">
        <v>784625.76576451818</v>
      </c>
      <c r="H377">
        <v>0.92125668253537707</v>
      </c>
    </row>
    <row r="378" spans="1:8" x14ac:dyDescent="0.5">
      <c r="A378" s="1">
        <v>43647</v>
      </c>
      <c r="B378">
        <v>697176.7</v>
      </c>
      <c r="C378">
        <v>45400.429999999986</v>
      </c>
      <c r="D378">
        <v>0</v>
      </c>
      <c r="E378">
        <v>742577.12999999989</v>
      </c>
      <c r="F378">
        <v>0</v>
      </c>
      <c r="G378">
        <v>784625.76576451818</v>
      </c>
      <c r="H378">
        <v>0.94640931052838007</v>
      </c>
    </row>
    <row r="379" spans="1:8" x14ac:dyDescent="0.5">
      <c r="A379" s="1">
        <v>43648</v>
      </c>
      <c r="B379">
        <v>696073</v>
      </c>
      <c r="C379">
        <v>45400.429999999986</v>
      </c>
      <c r="D379">
        <v>0</v>
      </c>
      <c r="E379">
        <v>741473.42999999993</v>
      </c>
      <c r="F379">
        <v>0</v>
      </c>
      <c r="G379">
        <v>784625.76576451818</v>
      </c>
      <c r="H379">
        <v>0.9450026526691081</v>
      </c>
    </row>
    <row r="380" spans="1:8" x14ac:dyDescent="0.5">
      <c r="A380" s="1">
        <v>43649</v>
      </c>
      <c r="B380">
        <v>693676</v>
      </c>
      <c r="C380">
        <v>45400.429999999986</v>
      </c>
      <c r="D380">
        <v>0</v>
      </c>
      <c r="E380">
        <v>739076.42999999993</v>
      </c>
      <c r="F380">
        <v>0</v>
      </c>
      <c r="G380">
        <v>784625.76576451818</v>
      </c>
      <c r="H380">
        <v>0.94194769308890058</v>
      </c>
    </row>
    <row r="381" spans="1:8" x14ac:dyDescent="0.5">
      <c r="A381" s="1">
        <v>43650</v>
      </c>
      <c r="B381">
        <v>692646.5</v>
      </c>
      <c r="C381">
        <v>45400.429999999986</v>
      </c>
      <c r="D381">
        <v>0</v>
      </c>
      <c r="E381">
        <v>738046.92999999993</v>
      </c>
      <c r="F381">
        <v>0</v>
      </c>
      <c r="G381">
        <v>784625.76576451818</v>
      </c>
      <c r="H381">
        <v>0.9406356026058702</v>
      </c>
    </row>
    <row r="382" spans="1:8" x14ac:dyDescent="0.5">
      <c r="A382" s="1">
        <v>43651</v>
      </c>
      <c r="B382">
        <v>694856.00000000012</v>
      </c>
      <c r="C382">
        <v>45400.429999999986</v>
      </c>
      <c r="D382">
        <v>0</v>
      </c>
      <c r="E382">
        <v>740256.43</v>
      </c>
      <c r="F382">
        <v>0</v>
      </c>
      <c r="G382">
        <v>784625.76576451818</v>
      </c>
      <c r="H382">
        <v>0.94345159475959106</v>
      </c>
    </row>
    <row r="383" spans="1:8" x14ac:dyDescent="0.5">
      <c r="A383" s="1">
        <v>43654</v>
      </c>
      <c r="B383">
        <v>672645.20000000007</v>
      </c>
      <c r="C383">
        <v>45400.429999999986</v>
      </c>
      <c r="D383">
        <v>0</v>
      </c>
      <c r="E383">
        <v>718045.63</v>
      </c>
      <c r="F383">
        <v>0</v>
      </c>
      <c r="G383">
        <v>784625.76576451818</v>
      </c>
      <c r="H383">
        <v>0.91514408693978555</v>
      </c>
    </row>
    <row r="384" spans="1:8" x14ac:dyDescent="0.5">
      <c r="A384" s="1">
        <v>43655</v>
      </c>
      <c r="B384">
        <v>673597.1</v>
      </c>
      <c r="C384">
        <v>45400.429999999986</v>
      </c>
      <c r="D384">
        <v>0</v>
      </c>
      <c r="E384">
        <v>718997.52999999991</v>
      </c>
      <c r="F384">
        <v>0</v>
      </c>
      <c r="G384">
        <v>784625.76576451818</v>
      </c>
      <c r="H384">
        <v>0.91635727677057366</v>
      </c>
    </row>
    <row r="385" spans="1:8" x14ac:dyDescent="0.5">
      <c r="A385" s="1">
        <v>43656</v>
      </c>
      <c r="B385">
        <v>674435.6</v>
      </c>
      <c r="C385">
        <v>45400.429999999986</v>
      </c>
      <c r="D385">
        <v>0</v>
      </c>
      <c r="E385">
        <v>719836.02999999991</v>
      </c>
      <c r="F385">
        <v>0</v>
      </c>
      <c r="G385">
        <v>784625.76576451818</v>
      </c>
      <c r="H385">
        <v>0.9174259391018228</v>
      </c>
    </row>
    <row r="386" spans="1:8" x14ac:dyDescent="0.5">
      <c r="A386" s="1">
        <v>43657</v>
      </c>
      <c r="B386">
        <v>672779.5</v>
      </c>
      <c r="C386">
        <v>45400.429999999986</v>
      </c>
      <c r="D386">
        <v>0</v>
      </c>
      <c r="E386">
        <v>718179.92999999993</v>
      </c>
      <c r="F386">
        <v>0</v>
      </c>
      <c r="G386">
        <v>784625.76576451818</v>
      </c>
      <c r="H386">
        <v>0.91531525134179703</v>
      </c>
    </row>
    <row r="387" spans="1:8" x14ac:dyDescent="0.5">
      <c r="A387" s="1">
        <v>43658</v>
      </c>
      <c r="B387">
        <v>675320.8</v>
      </c>
      <c r="C387">
        <v>45400.429999999986</v>
      </c>
      <c r="D387">
        <v>0</v>
      </c>
      <c r="E387">
        <v>720721.23</v>
      </c>
      <c r="F387">
        <v>0</v>
      </c>
      <c r="G387">
        <v>784625.76576451818</v>
      </c>
      <c r="H387">
        <v>0.91855412025342897</v>
      </c>
    </row>
    <row r="388" spans="1:8" x14ac:dyDescent="0.5">
      <c r="A388" s="1">
        <v>43661</v>
      </c>
      <c r="B388">
        <v>685444.60000000009</v>
      </c>
      <c r="C388">
        <v>45400.429999999986</v>
      </c>
      <c r="D388">
        <v>0</v>
      </c>
      <c r="E388">
        <v>730845.03</v>
      </c>
      <c r="F388">
        <v>0</v>
      </c>
      <c r="G388">
        <v>784625.76576451818</v>
      </c>
      <c r="H388">
        <v>0.93145683189218798</v>
      </c>
    </row>
    <row r="389" spans="1:8" x14ac:dyDescent="0.5">
      <c r="A389" s="1">
        <v>43662</v>
      </c>
      <c r="B389">
        <v>685691.70000000007</v>
      </c>
      <c r="C389">
        <v>45400.429999999986</v>
      </c>
      <c r="D389">
        <v>0</v>
      </c>
      <c r="E389">
        <v>731092.13</v>
      </c>
      <c r="F389">
        <v>0</v>
      </c>
      <c r="G389">
        <v>784625.76576451818</v>
      </c>
      <c r="H389">
        <v>0.93177175909797405</v>
      </c>
    </row>
    <row r="390" spans="1:8" x14ac:dyDescent="0.5">
      <c r="A390" s="1">
        <v>43663</v>
      </c>
      <c r="B390">
        <v>448612.4</v>
      </c>
      <c r="C390">
        <v>286578.05</v>
      </c>
      <c r="D390">
        <v>0</v>
      </c>
      <c r="E390">
        <v>735190.45</v>
      </c>
      <c r="F390">
        <v>0</v>
      </c>
      <c r="G390">
        <v>784625.76576451818</v>
      </c>
      <c r="H390">
        <v>0.93699503900901115</v>
      </c>
    </row>
    <row r="391" spans="1:8" x14ac:dyDescent="0.5">
      <c r="A391" s="1">
        <v>43664</v>
      </c>
      <c r="B391">
        <v>441317.89999999997</v>
      </c>
      <c r="C391">
        <v>6578.0499999999884</v>
      </c>
      <c r="D391">
        <v>-280000</v>
      </c>
      <c r="E391">
        <v>447895.94999999995</v>
      </c>
      <c r="F391">
        <v>-298827.62271199946</v>
      </c>
      <c r="G391">
        <v>485798.14305251872</v>
      </c>
      <c r="H391">
        <v>0.92197954316095188</v>
      </c>
    </row>
    <row r="392" spans="1:8" x14ac:dyDescent="0.5">
      <c r="A392" s="1">
        <v>43665</v>
      </c>
      <c r="B392">
        <v>444375.89999999997</v>
      </c>
      <c r="C392">
        <v>6578.0499999999884</v>
      </c>
      <c r="D392">
        <v>0</v>
      </c>
      <c r="E392">
        <v>450953.94999999995</v>
      </c>
      <c r="F392">
        <v>0</v>
      </c>
      <c r="G392">
        <v>485798.14305251872</v>
      </c>
      <c r="H392">
        <v>0.92827433873341947</v>
      </c>
    </row>
    <row r="393" spans="1:8" x14ac:dyDescent="0.5">
      <c r="A393" s="1">
        <v>43668</v>
      </c>
      <c r="B393">
        <v>436737.10000000003</v>
      </c>
      <c r="C393">
        <v>6578.0499999999884</v>
      </c>
      <c r="D393">
        <v>0</v>
      </c>
      <c r="E393">
        <v>443315.15</v>
      </c>
      <c r="F393">
        <v>0</v>
      </c>
      <c r="G393">
        <v>485798.14305251872</v>
      </c>
      <c r="H393">
        <v>0.91255011230471927</v>
      </c>
    </row>
    <row r="394" spans="1:8" x14ac:dyDescent="0.5">
      <c r="A394" s="1">
        <v>43669</v>
      </c>
      <c r="B394">
        <v>445284.9</v>
      </c>
      <c r="C394">
        <v>6578.0499999999884</v>
      </c>
      <c r="D394">
        <v>0</v>
      </c>
      <c r="E394">
        <v>451862.95</v>
      </c>
      <c r="F394">
        <v>0</v>
      </c>
      <c r="G394">
        <v>485798.14305251872</v>
      </c>
      <c r="H394">
        <v>0.93014548627278293</v>
      </c>
    </row>
    <row r="395" spans="1:8" x14ac:dyDescent="0.5">
      <c r="A395" s="1">
        <v>43670</v>
      </c>
      <c r="B395">
        <v>453449.8</v>
      </c>
      <c r="C395">
        <v>6578.0499999999884</v>
      </c>
      <c r="D395">
        <v>0</v>
      </c>
      <c r="E395">
        <v>460027.85</v>
      </c>
      <c r="F395">
        <v>0</v>
      </c>
      <c r="G395">
        <v>485798.14305251872</v>
      </c>
      <c r="H395">
        <v>0.94695267278999717</v>
      </c>
    </row>
    <row r="396" spans="1:8" x14ac:dyDescent="0.5">
      <c r="A396" s="1">
        <v>43671</v>
      </c>
      <c r="B396">
        <v>458248.7</v>
      </c>
      <c r="C396">
        <v>6578.0499999999884</v>
      </c>
      <c r="D396">
        <v>0</v>
      </c>
      <c r="E396">
        <v>464826.75</v>
      </c>
      <c r="F396">
        <v>0</v>
      </c>
      <c r="G396">
        <v>485798.14305251872</v>
      </c>
      <c r="H396">
        <v>0.95683105554758874</v>
      </c>
    </row>
    <row r="397" spans="1:8" x14ac:dyDescent="0.5">
      <c r="A397" s="1">
        <v>43672</v>
      </c>
      <c r="B397">
        <v>460287.9</v>
      </c>
      <c r="C397">
        <v>6578.0499999999884</v>
      </c>
      <c r="D397">
        <v>0</v>
      </c>
      <c r="E397">
        <v>466865.95</v>
      </c>
      <c r="F397">
        <v>0</v>
      </c>
      <c r="G397">
        <v>485798.14305251872</v>
      </c>
      <c r="H397">
        <v>0.9610286837789086</v>
      </c>
    </row>
    <row r="398" spans="1:8" x14ac:dyDescent="0.5">
      <c r="A398" s="1">
        <v>43675</v>
      </c>
      <c r="B398">
        <v>462796</v>
      </c>
      <c r="C398">
        <v>6578.0499999999884</v>
      </c>
      <c r="D398">
        <v>0</v>
      </c>
      <c r="E398">
        <v>469374.05</v>
      </c>
      <c r="F398">
        <v>0</v>
      </c>
      <c r="G398">
        <v>485798.14305251872</v>
      </c>
      <c r="H398">
        <v>0.96619152772112771</v>
      </c>
    </row>
    <row r="399" spans="1:8" x14ac:dyDescent="0.5">
      <c r="A399" s="1">
        <v>43676</v>
      </c>
      <c r="B399">
        <v>461104.3</v>
      </c>
      <c r="C399">
        <v>6578.0499999999884</v>
      </c>
      <c r="D399">
        <v>0</v>
      </c>
      <c r="E399">
        <v>467682.35</v>
      </c>
      <c r="F399">
        <v>0</v>
      </c>
      <c r="G399">
        <v>485798.14305251872</v>
      </c>
      <c r="H399">
        <v>0.96270921716849733</v>
      </c>
    </row>
    <row r="400" spans="1:8" x14ac:dyDescent="0.5">
      <c r="A400" s="1">
        <v>43677</v>
      </c>
      <c r="B400">
        <v>462445.79999999993</v>
      </c>
      <c r="C400">
        <v>6578.0499999999884</v>
      </c>
      <c r="D400">
        <v>0</v>
      </c>
      <c r="E400">
        <v>469023.84999999992</v>
      </c>
      <c r="F400">
        <v>0</v>
      </c>
      <c r="G400">
        <v>485798.14305251872</v>
      </c>
      <c r="H400">
        <v>0.96547065217845973</v>
      </c>
    </row>
    <row r="401" spans="1:8" x14ac:dyDescent="0.5">
      <c r="A401" s="1">
        <v>43678</v>
      </c>
      <c r="B401">
        <v>458562.9</v>
      </c>
      <c r="C401">
        <v>6578.0499999999884</v>
      </c>
      <c r="D401">
        <v>0</v>
      </c>
      <c r="E401">
        <v>465140.95</v>
      </c>
      <c r="F401">
        <v>0</v>
      </c>
      <c r="G401">
        <v>485798.14305251872</v>
      </c>
      <c r="H401">
        <v>0.95747782623721245</v>
      </c>
    </row>
    <row r="402" spans="1:8" x14ac:dyDescent="0.5">
      <c r="A402" s="1">
        <v>43679</v>
      </c>
      <c r="B402">
        <v>451949.60000000009</v>
      </c>
      <c r="C402">
        <v>6578.0499999999884</v>
      </c>
      <c r="D402">
        <v>0</v>
      </c>
      <c r="E402">
        <v>458527.65000000008</v>
      </c>
      <c r="F402">
        <v>0</v>
      </c>
      <c r="G402">
        <v>485798.14305251872</v>
      </c>
      <c r="H402">
        <v>0.9438645588861988</v>
      </c>
    </row>
    <row r="403" spans="1:8" x14ac:dyDescent="0.5">
      <c r="A403" s="1">
        <v>43682</v>
      </c>
      <c r="B403">
        <v>448398.8</v>
      </c>
      <c r="C403">
        <v>6578.0499999999884</v>
      </c>
      <c r="D403">
        <v>0</v>
      </c>
      <c r="E403">
        <v>454976.85</v>
      </c>
      <c r="F403">
        <v>0</v>
      </c>
      <c r="G403">
        <v>485798.14305251872</v>
      </c>
      <c r="H403">
        <v>0.93655535021428293</v>
      </c>
    </row>
    <row r="404" spans="1:8" x14ac:dyDescent="0.5">
      <c r="A404" s="1">
        <v>43683</v>
      </c>
      <c r="B404">
        <v>438000.30000000005</v>
      </c>
      <c r="C404">
        <v>6578.0499999999884</v>
      </c>
      <c r="D404">
        <v>0</v>
      </c>
      <c r="E404">
        <v>444578.35000000003</v>
      </c>
      <c r="F404">
        <v>0</v>
      </c>
      <c r="G404">
        <v>485798.14305251872</v>
      </c>
      <c r="H404">
        <v>0.91515036925931093</v>
      </c>
    </row>
    <row r="405" spans="1:8" x14ac:dyDescent="0.5">
      <c r="A405" s="1">
        <v>43684</v>
      </c>
      <c r="B405">
        <v>430790.7</v>
      </c>
      <c r="C405">
        <v>6578.0499999999884</v>
      </c>
      <c r="D405">
        <v>0</v>
      </c>
      <c r="E405">
        <v>437368.75</v>
      </c>
      <c r="F405">
        <v>0</v>
      </c>
      <c r="G405">
        <v>485798.14305251872</v>
      </c>
      <c r="H405">
        <v>0.90030963735634717</v>
      </c>
    </row>
    <row r="406" spans="1:8" x14ac:dyDescent="0.5">
      <c r="A406" s="1">
        <v>43685</v>
      </c>
      <c r="B406">
        <v>440952.30000000005</v>
      </c>
      <c r="C406">
        <v>6578.0499999999884</v>
      </c>
      <c r="D406">
        <v>0</v>
      </c>
      <c r="E406">
        <v>447530.35000000003</v>
      </c>
      <c r="F406">
        <v>0</v>
      </c>
      <c r="G406">
        <v>485798.14305251872</v>
      </c>
      <c r="H406">
        <v>0.92122696720892649</v>
      </c>
    </row>
    <row r="407" spans="1:8" x14ac:dyDescent="0.5">
      <c r="A407" s="1">
        <v>43686</v>
      </c>
      <c r="B407">
        <v>433951.39999999997</v>
      </c>
      <c r="C407">
        <v>6578.0499999999884</v>
      </c>
      <c r="D407">
        <v>0</v>
      </c>
      <c r="E407">
        <v>440529.44999999995</v>
      </c>
      <c r="F407">
        <v>0</v>
      </c>
      <c r="G407">
        <v>485798.14305251872</v>
      </c>
      <c r="H407">
        <v>0.9068158376068044</v>
      </c>
    </row>
    <row r="408" spans="1:8" x14ac:dyDescent="0.5">
      <c r="A408" s="1">
        <v>43689</v>
      </c>
      <c r="B408">
        <v>445478.60000000003</v>
      </c>
      <c r="C408">
        <v>6578.0499999999884</v>
      </c>
      <c r="D408">
        <v>0</v>
      </c>
      <c r="E408">
        <v>452056.65</v>
      </c>
      <c r="F408">
        <v>0</v>
      </c>
      <c r="G408">
        <v>485798.14305251872</v>
      </c>
      <c r="H408">
        <v>0.930544211551523</v>
      </c>
    </row>
    <row r="409" spans="1:8" x14ac:dyDescent="0.5">
      <c r="A409" s="1">
        <v>43690</v>
      </c>
      <c r="B409">
        <v>442400.89999999997</v>
      </c>
      <c r="C409">
        <v>6675.5499999999884</v>
      </c>
      <c r="D409">
        <v>0</v>
      </c>
      <c r="E409">
        <v>449076.44999999995</v>
      </c>
      <c r="F409">
        <v>0</v>
      </c>
      <c r="G409">
        <v>485798.14305251872</v>
      </c>
      <c r="H409">
        <v>0.92440956480035608</v>
      </c>
    </row>
    <row r="410" spans="1:8" x14ac:dyDescent="0.5">
      <c r="A410" s="1">
        <v>43691</v>
      </c>
      <c r="B410">
        <v>445975.6</v>
      </c>
      <c r="C410">
        <v>6675.5499999999884</v>
      </c>
      <c r="D410">
        <v>0</v>
      </c>
      <c r="E410">
        <v>452651.14999999997</v>
      </c>
      <c r="F410">
        <v>0</v>
      </c>
      <c r="G410">
        <v>485798.14305251872</v>
      </c>
      <c r="H410">
        <v>0.93176797086082053</v>
      </c>
    </row>
    <row r="411" spans="1:8" x14ac:dyDescent="0.5">
      <c r="A411" s="1">
        <v>43692</v>
      </c>
      <c r="B411">
        <v>449352.20000000007</v>
      </c>
      <c r="C411">
        <v>6675.5499999999884</v>
      </c>
      <c r="D411">
        <v>0</v>
      </c>
      <c r="E411">
        <v>456027.75000000006</v>
      </c>
      <c r="F411">
        <v>0</v>
      </c>
      <c r="G411">
        <v>485798.14305251872</v>
      </c>
      <c r="H411">
        <v>0.93871859438272853</v>
      </c>
    </row>
    <row r="412" spans="1:8" x14ac:dyDescent="0.5">
      <c r="A412" s="1">
        <v>43693</v>
      </c>
      <c r="B412">
        <v>450864.89999999997</v>
      </c>
      <c r="C412">
        <v>6675.5499999999884</v>
      </c>
      <c r="D412">
        <v>0</v>
      </c>
      <c r="E412">
        <v>457540.44999999995</v>
      </c>
      <c r="F412">
        <v>0</v>
      </c>
      <c r="G412">
        <v>485798.14305251872</v>
      </c>
      <c r="H412">
        <v>0.9418324391382783</v>
      </c>
    </row>
    <row r="413" spans="1:8" x14ac:dyDescent="0.5">
      <c r="A413" s="1">
        <v>43696</v>
      </c>
      <c r="B413">
        <v>467926.30000000005</v>
      </c>
      <c r="C413">
        <v>6675.5499999999884</v>
      </c>
      <c r="D413">
        <v>0</v>
      </c>
      <c r="E413">
        <v>474601.85000000003</v>
      </c>
      <c r="F413">
        <v>0</v>
      </c>
      <c r="G413">
        <v>485798.14305251872</v>
      </c>
      <c r="H413">
        <v>0.97695278746401415</v>
      </c>
    </row>
    <row r="414" spans="1:8" x14ac:dyDescent="0.5">
      <c r="A414" s="1">
        <v>43697</v>
      </c>
      <c r="B414">
        <v>467613.10000000003</v>
      </c>
      <c r="C414">
        <v>6675.5499999999884</v>
      </c>
      <c r="D414">
        <v>0</v>
      </c>
      <c r="E414">
        <v>474288.65</v>
      </c>
      <c r="F414">
        <v>0</v>
      </c>
      <c r="G414">
        <v>485798.14305251872</v>
      </c>
      <c r="H414">
        <v>0.97630807524253049</v>
      </c>
    </row>
    <row r="415" spans="1:8" x14ac:dyDescent="0.5">
      <c r="A415" s="1">
        <v>43698</v>
      </c>
      <c r="B415">
        <v>469095.4</v>
      </c>
      <c r="C415">
        <v>6675.5499999999884</v>
      </c>
      <c r="D415">
        <v>0</v>
      </c>
      <c r="E415">
        <v>475770.95</v>
      </c>
      <c r="F415">
        <v>0</v>
      </c>
      <c r="G415">
        <v>485798.14305251872</v>
      </c>
      <c r="H415">
        <v>0.97935934256662094</v>
      </c>
    </row>
    <row r="416" spans="1:8" x14ac:dyDescent="0.5">
      <c r="A416" s="1">
        <v>43699</v>
      </c>
      <c r="B416">
        <v>471662.19999999995</v>
      </c>
      <c r="C416">
        <v>46675.549999999988</v>
      </c>
      <c r="D416">
        <v>40000</v>
      </c>
      <c r="E416">
        <v>518337.74999999994</v>
      </c>
      <c r="F416">
        <v>40843.026927349703</v>
      </c>
      <c r="G416">
        <v>526641.16997986846</v>
      </c>
      <c r="H416">
        <v>0.9842332494054995</v>
      </c>
    </row>
    <row r="417" spans="1:8" x14ac:dyDescent="0.5">
      <c r="A417" s="1">
        <v>43700</v>
      </c>
      <c r="B417">
        <v>468730.7</v>
      </c>
      <c r="C417">
        <v>46675.549999999988</v>
      </c>
      <c r="D417">
        <v>0</v>
      </c>
      <c r="E417">
        <v>515406.25</v>
      </c>
      <c r="F417">
        <v>0</v>
      </c>
      <c r="G417">
        <v>526641.16997986846</v>
      </c>
      <c r="H417">
        <v>0.97866684068718379</v>
      </c>
    </row>
    <row r="418" spans="1:8" x14ac:dyDescent="0.5">
      <c r="A418" s="1">
        <v>43703</v>
      </c>
      <c r="B418">
        <v>467366.8</v>
      </c>
      <c r="C418">
        <v>46675.549999999988</v>
      </c>
      <c r="D418">
        <v>0</v>
      </c>
      <c r="E418">
        <v>514042.35</v>
      </c>
      <c r="F418">
        <v>0</v>
      </c>
      <c r="G418">
        <v>526641.16997986846</v>
      </c>
      <c r="H418">
        <v>0.97607703176652505</v>
      </c>
    </row>
    <row r="419" spans="1:8" x14ac:dyDescent="0.5">
      <c r="A419" s="1">
        <v>43704</v>
      </c>
      <c r="B419">
        <v>476926.4</v>
      </c>
      <c r="C419">
        <v>46675.549999999988</v>
      </c>
      <c r="D419">
        <v>0</v>
      </c>
      <c r="E419">
        <v>523601.95</v>
      </c>
      <c r="F419">
        <v>0</v>
      </c>
      <c r="G419">
        <v>526641.16997986846</v>
      </c>
      <c r="H419">
        <v>0.99422904977219195</v>
      </c>
    </row>
    <row r="420" spans="1:8" x14ac:dyDescent="0.5">
      <c r="A420" s="1">
        <v>43705</v>
      </c>
      <c r="B420">
        <v>476272</v>
      </c>
      <c r="C420">
        <v>46675.549999999988</v>
      </c>
      <c r="D420">
        <v>0</v>
      </c>
      <c r="E420">
        <v>522947.55</v>
      </c>
      <c r="F420">
        <v>0</v>
      </c>
      <c r="G420">
        <v>526641.16997986846</v>
      </c>
      <c r="H420">
        <v>0.9929864579709754</v>
      </c>
    </row>
    <row r="421" spans="1:8" x14ac:dyDescent="0.5">
      <c r="A421" s="1">
        <v>43706</v>
      </c>
      <c r="B421">
        <v>459794.5</v>
      </c>
      <c r="C421">
        <v>266689.53999999998</v>
      </c>
      <c r="D421">
        <v>200000</v>
      </c>
      <c r="E421">
        <v>726484.04</v>
      </c>
      <c r="F421">
        <v>201412.61584641461</v>
      </c>
      <c r="G421">
        <v>728053.78582628304</v>
      </c>
      <c r="H421">
        <v>0.9978439150281988</v>
      </c>
    </row>
    <row r="422" spans="1:8" x14ac:dyDescent="0.5">
      <c r="A422" s="1">
        <v>43707</v>
      </c>
      <c r="B422">
        <v>674336.9</v>
      </c>
      <c r="C422">
        <v>56687.229999999981</v>
      </c>
      <c r="D422">
        <v>15.92</v>
      </c>
      <c r="E422">
        <v>731024.13</v>
      </c>
      <c r="F422">
        <v>15.954399040004272</v>
      </c>
      <c r="G422">
        <v>728069.74022532301</v>
      </c>
      <c r="H422">
        <v>1.0040578389836152</v>
      </c>
    </row>
    <row r="423" spans="1:8" x14ac:dyDescent="0.5">
      <c r="A423" s="1">
        <v>43710</v>
      </c>
      <c r="B423">
        <v>694525.8</v>
      </c>
      <c r="C423">
        <v>58524.219999999979</v>
      </c>
      <c r="D423">
        <v>1836.99</v>
      </c>
      <c r="E423">
        <v>753050.02</v>
      </c>
      <c r="F423">
        <v>1829.5659161025453</v>
      </c>
      <c r="G423">
        <v>729899.30614142551</v>
      </c>
      <c r="H423">
        <v>1.0317176816908618</v>
      </c>
    </row>
    <row r="424" spans="1:8" x14ac:dyDescent="0.5">
      <c r="A424" s="1">
        <v>43711</v>
      </c>
      <c r="B424">
        <v>677892.5</v>
      </c>
      <c r="C424">
        <v>80210.709999999977</v>
      </c>
      <c r="D424">
        <v>0</v>
      </c>
      <c r="E424">
        <v>758103.21</v>
      </c>
      <c r="F424">
        <v>0</v>
      </c>
      <c r="G424">
        <v>729899.30614142551</v>
      </c>
      <c r="H424">
        <v>1.038640814727819</v>
      </c>
    </row>
    <row r="425" spans="1:8" x14ac:dyDescent="0.5">
      <c r="A425" s="1">
        <v>43712</v>
      </c>
      <c r="B425">
        <v>683158.7</v>
      </c>
      <c r="C425">
        <v>80210.709999999977</v>
      </c>
      <c r="D425">
        <v>0</v>
      </c>
      <c r="E425">
        <v>763369.40999999992</v>
      </c>
      <c r="F425">
        <v>0</v>
      </c>
      <c r="G425">
        <v>729899.30614142551</v>
      </c>
      <c r="H425">
        <v>1.0458557825400772</v>
      </c>
    </row>
    <row r="426" spans="1:8" x14ac:dyDescent="0.5">
      <c r="A426" s="1">
        <v>43713</v>
      </c>
      <c r="B426">
        <v>523486.9</v>
      </c>
      <c r="C426">
        <v>245018.69</v>
      </c>
      <c r="D426">
        <v>735.52</v>
      </c>
      <c r="E426">
        <v>768505.59000000008</v>
      </c>
      <c r="F426">
        <v>703.27095980063086</v>
      </c>
      <c r="G426">
        <v>730602.57710122608</v>
      </c>
      <c r="H426">
        <v>1.0518791119642088</v>
      </c>
    </row>
    <row r="427" spans="1:8" x14ac:dyDescent="0.5">
      <c r="A427" s="1">
        <v>43714</v>
      </c>
      <c r="B427">
        <v>471208.5</v>
      </c>
      <c r="C427">
        <v>299487.34000000003</v>
      </c>
      <c r="D427">
        <v>0</v>
      </c>
      <c r="E427">
        <v>770695.84000000008</v>
      </c>
      <c r="F427">
        <v>0</v>
      </c>
      <c r="G427">
        <v>730602.57710122608</v>
      </c>
      <c r="H427">
        <v>1.0548769798456639</v>
      </c>
    </row>
    <row r="428" spans="1:8" x14ac:dyDescent="0.5">
      <c r="A428" s="1">
        <v>43717</v>
      </c>
      <c r="B428">
        <v>479860.89999999997</v>
      </c>
      <c r="C428">
        <v>299487.34000000003</v>
      </c>
      <c r="D428">
        <v>0</v>
      </c>
      <c r="E428">
        <v>779348.24</v>
      </c>
      <c r="F428">
        <v>0</v>
      </c>
      <c r="G428">
        <v>730602.57710122608</v>
      </c>
      <c r="H428">
        <v>1.0667198069464516</v>
      </c>
    </row>
    <row r="429" spans="1:8" x14ac:dyDescent="0.5">
      <c r="A429" s="1">
        <v>43718</v>
      </c>
      <c r="B429">
        <v>418847</v>
      </c>
      <c r="C429">
        <v>356491.23000000004</v>
      </c>
      <c r="D429">
        <v>0</v>
      </c>
      <c r="E429">
        <v>775338.23</v>
      </c>
      <c r="F429">
        <v>0</v>
      </c>
      <c r="G429">
        <v>730602.57710122608</v>
      </c>
      <c r="H429">
        <v>1.0612311731451445</v>
      </c>
    </row>
    <row r="430" spans="1:8" x14ac:dyDescent="0.5">
      <c r="A430" s="1">
        <v>43719</v>
      </c>
      <c r="B430">
        <v>112323.70000000001</v>
      </c>
      <c r="C430">
        <v>675489.17</v>
      </c>
      <c r="D430">
        <v>15567.3</v>
      </c>
      <c r="E430">
        <v>787812.87000000011</v>
      </c>
      <c r="F430">
        <v>14669.094155860103</v>
      </c>
      <c r="G430">
        <v>745271.67125708621</v>
      </c>
      <c r="H430">
        <v>1.0570814648987765</v>
      </c>
    </row>
    <row r="431" spans="1:8" x14ac:dyDescent="0.5">
      <c r="A431" s="1">
        <v>43720</v>
      </c>
      <c r="B431">
        <v>112969.4</v>
      </c>
      <c r="C431">
        <v>675489.17</v>
      </c>
      <c r="D431">
        <v>0</v>
      </c>
      <c r="E431">
        <v>788458.57000000007</v>
      </c>
      <c r="F431">
        <v>0</v>
      </c>
      <c r="G431">
        <v>745271.67125708621</v>
      </c>
      <c r="H431">
        <v>1.0579478603689154</v>
      </c>
    </row>
    <row r="432" spans="1:8" x14ac:dyDescent="0.5">
      <c r="A432" s="1">
        <v>43724</v>
      </c>
      <c r="B432">
        <v>112772.2</v>
      </c>
      <c r="C432">
        <v>675489.17</v>
      </c>
      <c r="D432">
        <v>0</v>
      </c>
      <c r="E432">
        <v>788261.37</v>
      </c>
      <c r="F432">
        <v>0</v>
      </c>
      <c r="G432">
        <v>745271.67125708621</v>
      </c>
      <c r="H432">
        <v>1.0576832588717628</v>
      </c>
    </row>
    <row r="433" spans="1:8" x14ac:dyDescent="0.5">
      <c r="A433" s="1">
        <v>43725</v>
      </c>
      <c r="B433">
        <v>109704.5</v>
      </c>
      <c r="C433">
        <v>675489.17</v>
      </c>
      <c r="D433">
        <v>0</v>
      </c>
      <c r="E433">
        <v>785193.67</v>
      </c>
      <c r="F433">
        <v>0</v>
      </c>
      <c r="G433">
        <v>745271.67125708621</v>
      </c>
      <c r="H433">
        <v>1.0535670417682392</v>
      </c>
    </row>
    <row r="434" spans="1:8" x14ac:dyDescent="0.5">
      <c r="A434" s="1">
        <v>43726</v>
      </c>
      <c r="B434">
        <v>109469.4</v>
      </c>
      <c r="C434">
        <v>675489.17</v>
      </c>
      <c r="D434">
        <v>0</v>
      </c>
      <c r="E434">
        <v>784958.57000000007</v>
      </c>
      <c r="F434">
        <v>0</v>
      </c>
      <c r="G434">
        <v>745271.67125708621</v>
      </c>
      <c r="H434">
        <v>1.0532515863322325</v>
      </c>
    </row>
    <row r="435" spans="1:8" x14ac:dyDescent="0.5">
      <c r="A435" s="1">
        <v>43727</v>
      </c>
      <c r="B435">
        <v>181370.5</v>
      </c>
      <c r="C435">
        <v>605870.09000000008</v>
      </c>
      <c r="D435">
        <v>0</v>
      </c>
      <c r="E435">
        <v>787240.59000000008</v>
      </c>
      <c r="F435">
        <v>0</v>
      </c>
      <c r="G435">
        <v>745271.67125708621</v>
      </c>
      <c r="H435">
        <v>1.0563135838400013</v>
      </c>
    </row>
    <row r="436" spans="1:8" x14ac:dyDescent="0.5">
      <c r="A436" s="1">
        <v>43728</v>
      </c>
      <c r="B436">
        <v>183225.8</v>
      </c>
      <c r="C436">
        <v>605885.78</v>
      </c>
      <c r="D436">
        <v>0</v>
      </c>
      <c r="E436">
        <v>789111.58000000007</v>
      </c>
      <c r="F436">
        <v>0</v>
      </c>
      <c r="G436">
        <v>745271.67125708621</v>
      </c>
      <c r="H436">
        <v>1.0588240643428282</v>
      </c>
    </row>
    <row r="437" spans="1:8" x14ac:dyDescent="0.5">
      <c r="A437" s="1">
        <v>43731</v>
      </c>
      <c r="B437">
        <v>185847</v>
      </c>
      <c r="C437">
        <v>605885.78</v>
      </c>
      <c r="D437">
        <v>0</v>
      </c>
      <c r="E437">
        <v>791732.78</v>
      </c>
      <c r="F437">
        <v>0</v>
      </c>
      <c r="G437">
        <v>745271.67125708621</v>
      </c>
      <c r="H437">
        <v>1.0623411710585291</v>
      </c>
    </row>
    <row r="438" spans="1:8" x14ac:dyDescent="0.5">
      <c r="A438" s="1">
        <v>43732</v>
      </c>
      <c r="B438">
        <v>185884.90000000002</v>
      </c>
      <c r="C438">
        <v>605885.78</v>
      </c>
      <c r="D438">
        <v>0</v>
      </c>
      <c r="E438">
        <v>791770.68</v>
      </c>
      <c r="F438">
        <v>0</v>
      </c>
      <c r="G438">
        <v>745271.67125708621</v>
      </c>
      <c r="H438">
        <v>1.0623920249973835</v>
      </c>
    </row>
    <row r="439" spans="1:8" x14ac:dyDescent="0.5">
      <c r="A439" s="1">
        <v>43733</v>
      </c>
      <c r="B439">
        <v>179406.5</v>
      </c>
      <c r="C439">
        <v>605885.78</v>
      </c>
      <c r="D439">
        <v>0</v>
      </c>
      <c r="E439">
        <v>785292.28</v>
      </c>
      <c r="F439">
        <v>0</v>
      </c>
      <c r="G439">
        <v>745271.67125708621</v>
      </c>
      <c r="H439">
        <v>1.0536993559347414</v>
      </c>
    </row>
    <row r="440" spans="1:8" x14ac:dyDescent="0.5">
      <c r="A440" s="1">
        <v>43734</v>
      </c>
      <c r="B440">
        <v>29302.5</v>
      </c>
      <c r="C440">
        <v>750017.63</v>
      </c>
      <c r="D440">
        <v>0</v>
      </c>
      <c r="E440">
        <v>779320.13</v>
      </c>
      <c r="F440">
        <v>0</v>
      </c>
      <c r="G440">
        <v>745271.67125708621</v>
      </c>
      <c r="H440">
        <v>1.0456859693666909</v>
      </c>
    </row>
    <row r="441" spans="1:8" x14ac:dyDescent="0.5">
      <c r="A441" s="1">
        <v>43735</v>
      </c>
      <c r="B441">
        <v>29370.000000000004</v>
      </c>
      <c r="C441">
        <v>750017.63</v>
      </c>
      <c r="D441">
        <v>0</v>
      </c>
      <c r="E441">
        <v>779387.63</v>
      </c>
      <c r="F441">
        <v>0</v>
      </c>
      <c r="G441">
        <v>745271.67125708621</v>
      </c>
      <c r="H441">
        <v>1.0457765403659698</v>
      </c>
    </row>
    <row r="442" spans="1:8" x14ac:dyDescent="0.5">
      <c r="A442" s="1">
        <v>43738</v>
      </c>
      <c r="B442">
        <v>29017.5</v>
      </c>
      <c r="C442">
        <v>750017.63</v>
      </c>
      <c r="D442">
        <v>0</v>
      </c>
      <c r="E442">
        <v>779035.13</v>
      </c>
      <c r="F442">
        <v>0</v>
      </c>
      <c r="G442">
        <v>745271.67125708621</v>
      </c>
      <c r="H442">
        <v>1.0453035584808468</v>
      </c>
    </row>
    <row r="443" spans="1:8" x14ac:dyDescent="0.5">
      <c r="A443" s="1">
        <v>43746</v>
      </c>
      <c r="B443">
        <v>29204.999999999996</v>
      </c>
      <c r="C443">
        <v>750017.63</v>
      </c>
      <c r="D443">
        <v>0</v>
      </c>
      <c r="E443">
        <v>779222.63</v>
      </c>
      <c r="F443">
        <v>0</v>
      </c>
      <c r="G443">
        <v>745271.67125708621</v>
      </c>
      <c r="H443">
        <v>1.0455551445899547</v>
      </c>
    </row>
    <row r="444" spans="1:8" x14ac:dyDescent="0.5">
      <c r="A444" s="1">
        <v>43747</v>
      </c>
      <c r="B444">
        <v>29287.5</v>
      </c>
      <c r="C444">
        <v>750017.63</v>
      </c>
      <c r="D444">
        <v>0</v>
      </c>
      <c r="E444">
        <v>779305.13</v>
      </c>
      <c r="F444">
        <v>0</v>
      </c>
      <c r="G444">
        <v>745271.67125708621</v>
      </c>
      <c r="H444">
        <v>1.0456658424779623</v>
      </c>
    </row>
    <row r="445" spans="1:8" x14ac:dyDescent="0.5">
      <c r="A445" s="1">
        <v>43748</v>
      </c>
      <c r="B445">
        <v>29497.500000000004</v>
      </c>
      <c r="C445">
        <v>750017.63</v>
      </c>
      <c r="D445">
        <v>0</v>
      </c>
      <c r="E445">
        <v>779515.13</v>
      </c>
      <c r="F445">
        <v>0</v>
      </c>
      <c r="G445">
        <v>745271.67125708621</v>
      </c>
      <c r="H445">
        <v>1.0459476189201633</v>
      </c>
    </row>
    <row r="446" spans="1:8" x14ac:dyDescent="0.5">
      <c r="A446" s="1">
        <v>43749</v>
      </c>
      <c r="B446">
        <v>29857.500000000004</v>
      </c>
      <c r="C446">
        <v>750017.63</v>
      </c>
      <c r="D446">
        <v>0</v>
      </c>
      <c r="E446">
        <v>779875.13</v>
      </c>
      <c r="F446">
        <v>0</v>
      </c>
      <c r="G446">
        <v>745271.67125708621</v>
      </c>
      <c r="H446">
        <v>1.0464306642496506</v>
      </c>
    </row>
    <row r="447" spans="1:8" x14ac:dyDescent="0.5">
      <c r="A447" s="1">
        <v>43752</v>
      </c>
      <c r="B447">
        <v>148225</v>
      </c>
      <c r="C447">
        <v>630831.88</v>
      </c>
      <c r="D447">
        <v>0</v>
      </c>
      <c r="E447">
        <v>779056.88</v>
      </c>
      <c r="F447">
        <v>0</v>
      </c>
      <c r="G447">
        <v>745271.67125708621</v>
      </c>
      <c r="H447">
        <v>1.0453327424695034</v>
      </c>
    </row>
    <row r="448" spans="1:8" x14ac:dyDescent="0.5">
      <c r="A448" s="1">
        <v>43753</v>
      </c>
      <c r="B448">
        <v>147317.5</v>
      </c>
      <c r="C448">
        <v>530831.88</v>
      </c>
      <c r="D448">
        <v>-100000</v>
      </c>
      <c r="E448">
        <v>678149.38</v>
      </c>
      <c r="F448">
        <v>-95663.319378822009</v>
      </c>
      <c r="G448">
        <v>649608.35187826422</v>
      </c>
      <c r="H448">
        <v>1.0439357468838153</v>
      </c>
    </row>
    <row r="449" spans="1:8" x14ac:dyDescent="0.5">
      <c r="A449" s="1">
        <v>43754</v>
      </c>
      <c r="B449">
        <v>207492.5</v>
      </c>
      <c r="C449">
        <v>470613.82</v>
      </c>
      <c r="D449">
        <v>0</v>
      </c>
      <c r="E449">
        <v>678106.32000000007</v>
      </c>
      <c r="F449">
        <v>0</v>
      </c>
      <c r="G449">
        <v>649608.35187826422</v>
      </c>
      <c r="H449">
        <v>1.0438694607902399</v>
      </c>
    </row>
    <row r="450" spans="1:8" x14ac:dyDescent="0.5">
      <c r="A450" s="1">
        <v>43755</v>
      </c>
      <c r="B450">
        <v>232717.5</v>
      </c>
      <c r="C450">
        <v>445186.19</v>
      </c>
      <c r="D450">
        <v>0</v>
      </c>
      <c r="E450">
        <v>677903.69</v>
      </c>
      <c r="F450">
        <v>0</v>
      </c>
      <c r="G450">
        <v>649608.35187826422</v>
      </c>
      <c r="H450">
        <v>1.0435575343819443</v>
      </c>
    </row>
    <row r="451" spans="1:8" x14ac:dyDescent="0.5">
      <c r="A451" s="1">
        <v>43756</v>
      </c>
      <c r="B451">
        <v>230502.5</v>
      </c>
      <c r="C451">
        <v>445186.19</v>
      </c>
      <c r="D451">
        <v>0</v>
      </c>
      <c r="E451">
        <v>675688.69</v>
      </c>
      <c r="F451">
        <v>0</v>
      </c>
      <c r="G451">
        <v>649608.35187826422</v>
      </c>
      <c r="H451">
        <v>1.040147787580513</v>
      </c>
    </row>
    <row r="452" spans="1:8" x14ac:dyDescent="0.5">
      <c r="A452" s="1">
        <v>43759</v>
      </c>
      <c r="B452">
        <v>227870</v>
      </c>
      <c r="C452">
        <v>445186.19</v>
      </c>
      <c r="D452">
        <v>0</v>
      </c>
      <c r="E452">
        <v>673056.19</v>
      </c>
      <c r="F452">
        <v>0</v>
      </c>
      <c r="G452">
        <v>649608.35187826422</v>
      </c>
      <c r="H452">
        <v>1.0360953458402113</v>
      </c>
    </row>
    <row r="453" spans="1:8" x14ac:dyDescent="0.5">
      <c r="A453" s="1">
        <v>43760</v>
      </c>
      <c r="B453">
        <v>231262.5</v>
      </c>
      <c r="C453">
        <v>445186.19</v>
      </c>
      <c r="D453">
        <v>0</v>
      </c>
      <c r="E453">
        <v>676448.69</v>
      </c>
      <c r="F453">
        <v>0</v>
      </c>
      <c r="G453">
        <v>649608.35187826422</v>
      </c>
      <c r="H453">
        <v>1.0413177232776181</v>
      </c>
    </row>
    <row r="454" spans="1:8" x14ac:dyDescent="0.5">
      <c r="A454" s="1">
        <v>43761</v>
      </c>
      <c r="B454">
        <v>227345</v>
      </c>
      <c r="C454">
        <v>445186.19</v>
      </c>
      <c r="D454">
        <v>0</v>
      </c>
      <c r="E454">
        <v>672531.19</v>
      </c>
      <c r="F454">
        <v>0</v>
      </c>
      <c r="G454">
        <v>649608.35187826422</v>
      </c>
      <c r="H454">
        <v>1.0352871665757639</v>
      </c>
    </row>
    <row r="455" spans="1:8" x14ac:dyDescent="0.5">
      <c r="A455" s="1">
        <v>43762</v>
      </c>
      <c r="B455">
        <v>313232.5</v>
      </c>
      <c r="C455">
        <v>358890.3</v>
      </c>
      <c r="D455">
        <v>0</v>
      </c>
      <c r="E455">
        <v>672122.8</v>
      </c>
      <c r="F455">
        <v>0</v>
      </c>
      <c r="G455">
        <v>649608.35187826422</v>
      </c>
      <c r="H455">
        <v>1.0346584954713682</v>
      </c>
    </row>
    <row r="456" spans="1:8" x14ac:dyDescent="0.5">
      <c r="A456" s="1">
        <v>43763</v>
      </c>
      <c r="B456">
        <v>315902.5</v>
      </c>
      <c r="C456">
        <v>358890.3</v>
      </c>
      <c r="D456">
        <v>0</v>
      </c>
      <c r="E456">
        <v>674792.8</v>
      </c>
      <c r="F456">
        <v>0</v>
      </c>
      <c r="G456">
        <v>649608.35187826422</v>
      </c>
      <c r="H456">
        <v>1.0387686643019876</v>
      </c>
    </row>
    <row r="457" spans="1:8" x14ac:dyDescent="0.5">
      <c r="A457" s="1">
        <v>43766</v>
      </c>
      <c r="B457">
        <v>446355</v>
      </c>
      <c r="C457">
        <v>233902.81</v>
      </c>
      <c r="D457">
        <v>0</v>
      </c>
      <c r="E457">
        <v>680257.81</v>
      </c>
      <c r="F457">
        <v>0</v>
      </c>
      <c r="G457">
        <v>649608.35187826422</v>
      </c>
      <c r="H457">
        <v>1.0471814409915092</v>
      </c>
    </row>
    <row r="458" spans="1:8" x14ac:dyDescent="0.5">
      <c r="A458" s="1">
        <v>43767</v>
      </c>
      <c r="B458">
        <v>441037.5</v>
      </c>
      <c r="C458">
        <v>233902.81</v>
      </c>
      <c r="D458">
        <v>0</v>
      </c>
      <c r="E458">
        <v>674940.31</v>
      </c>
      <c r="F458">
        <v>0</v>
      </c>
      <c r="G458">
        <v>649608.35187826422</v>
      </c>
      <c r="H458">
        <v>1.0389957395844611</v>
      </c>
    </row>
    <row r="459" spans="1:8" x14ac:dyDescent="0.5">
      <c r="A459" s="1">
        <v>43768</v>
      </c>
      <c r="B459">
        <v>439042.5</v>
      </c>
      <c r="C459">
        <v>303902.81</v>
      </c>
      <c r="D459">
        <v>70000</v>
      </c>
      <c r="E459">
        <v>742945.31</v>
      </c>
      <c r="F459">
        <v>67372.749793946219</v>
      </c>
      <c r="G459">
        <v>716981.1016722105</v>
      </c>
      <c r="H459">
        <v>1.0362132394664705</v>
      </c>
    </row>
    <row r="460" spans="1:8" x14ac:dyDescent="0.5">
      <c r="A460" s="1">
        <v>43769</v>
      </c>
      <c r="B460">
        <v>441667.5</v>
      </c>
      <c r="C460">
        <v>303902.81</v>
      </c>
      <c r="D460">
        <v>0</v>
      </c>
      <c r="E460">
        <v>745570.31</v>
      </c>
      <c r="F460">
        <v>0</v>
      </c>
      <c r="G460">
        <v>716981.1016722105</v>
      </c>
      <c r="H460">
        <v>1.0398744238322477</v>
      </c>
    </row>
    <row r="461" spans="1:8" x14ac:dyDescent="0.5">
      <c r="A461" s="1">
        <v>43770</v>
      </c>
      <c r="B461">
        <v>446935</v>
      </c>
      <c r="C461">
        <v>303902.81</v>
      </c>
      <c r="D461">
        <v>0</v>
      </c>
      <c r="E461">
        <v>750837.81</v>
      </c>
      <c r="F461">
        <v>0</v>
      </c>
      <c r="G461">
        <v>716981.1016722105</v>
      </c>
      <c r="H461">
        <v>1.0472212004595738</v>
      </c>
    </row>
    <row r="462" spans="1:8" x14ac:dyDescent="0.5">
      <c r="A462" s="1">
        <v>43773</v>
      </c>
      <c r="B462">
        <v>451442.49999999994</v>
      </c>
      <c r="C462">
        <v>283902.81</v>
      </c>
      <c r="D462">
        <v>-20000</v>
      </c>
      <c r="E462">
        <v>735345.30999999994</v>
      </c>
      <c r="F462">
        <v>-19098.161869930616</v>
      </c>
      <c r="G462">
        <v>697882.93980227993</v>
      </c>
      <c r="H462">
        <v>1.0536800200451004</v>
      </c>
    </row>
    <row r="463" spans="1:8" x14ac:dyDescent="0.5">
      <c r="A463" s="1">
        <v>43774</v>
      </c>
      <c r="B463">
        <v>454245</v>
      </c>
      <c r="C463">
        <v>283902.81</v>
      </c>
      <c r="D463">
        <v>0</v>
      </c>
      <c r="E463">
        <v>738147.81</v>
      </c>
      <c r="F463">
        <v>0</v>
      </c>
      <c r="G463">
        <v>697882.93980227993</v>
      </c>
      <c r="H463">
        <v>1.0576957364928963</v>
      </c>
    </row>
    <row r="464" spans="1:8" x14ac:dyDescent="0.5">
      <c r="A464" s="1">
        <v>43775</v>
      </c>
      <c r="B464">
        <v>448847.5</v>
      </c>
      <c r="C464">
        <v>283902.81</v>
      </c>
      <c r="D464">
        <v>0</v>
      </c>
      <c r="E464">
        <v>732750.31</v>
      </c>
      <c r="F464">
        <v>0</v>
      </c>
      <c r="G464">
        <v>697882.93980227993</v>
      </c>
      <c r="H464">
        <v>1.0499616313985245</v>
      </c>
    </row>
    <row r="465" spans="1:8" x14ac:dyDescent="0.5">
      <c r="A465" s="1">
        <v>43776</v>
      </c>
      <c r="B465">
        <v>451865</v>
      </c>
      <c r="C465">
        <v>283902.81</v>
      </c>
      <c r="D465">
        <v>0</v>
      </c>
      <c r="E465">
        <v>735767.81</v>
      </c>
      <c r="F465">
        <v>0</v>
      </c>
      <c r="G465">
        <v>697882.93980227993</v>
      </c>
      <c r="H465">
        <v>1.0542854224355354</v>
      </c>
    </row>
    <row r="466" spans="1:8" x14ac:dyDescent="0.5">
      <c r="A466" s="1">
        <v>43777</v>
      </c>
      <c r="B466">
        <v>449455</v>
      </c>
      <c r="C466">
        <v>283902.81</v>
      </c>
      <c r="D466">
        <v>0</v>
      </c>
      <c r="E466">
        <v>733357.81</v>
      </c>
      <c r="F466">
        <v>0</v>
      </c>
      <c r="G466">
        <v>697882.93980227993</v>
      </c>
      <c r="H466">
        <v>1.0508321212261911</v>
      </c>
    </row>
    <row r="467" spans="1:8" x14ac:dyDescent="0.5">
      <c r="A467" s="1">
        <v>43780</v>
      </c>
      <c r="B467">
        <v>439842.5</v>
      </c>
      <c r="C467">
        <v>283902.81</v>
      </c>
      <c r="D467">
        <v>0</v>
      </c>
      <c r="E467">
        <v>723745.31</v>
      </c>
      <c r="F467">
        <v>0</v>
      </c>
      <c r="G467">
        <v>697882.93980227993</v>
      </c>
      <c r="H467">
        <v>1.0370583212781319</v>
      </c>
    </row>
    <row r="468" spans="1:8" x14ac:dyDescent="0.5">
      <c r="A468" s="1">
        <v>43781</v>
      </c>
      <c r="B468">
        <v>440225</v>
      </c>
      <c r="C468">
        <v>283902.81</v>
      </c>
      <c r="D468">
        <v>0</v>
      </c>
      <c r="E468">
        <v>724127.81</v>
      </c>
      <c r="F468">
        <v>0</v>
      </c>
      <c r="G468">
        <v>697882.93980227993</v>
      </c>
      <c r="H468">
        <v>1.0376064074659221</v>
      </c>
    </row>
    <row r="469" spans="1:8" x14ac:dyDescent="0.5">
      <c r="A469" s="1">
        <v>43782</v>
      </c>
      <c r="B469">
        <v>445392.5</v>
      </c>
      <c r="C469">
        <v>283902.81</v>
      </c>
      <c r="D469">
        <v>0</v>
      </c>
      <c r="E469">
        <v>729295.31</v>
      </c>
      <c r="F469">
        <v>0</v>
      </c>
      <c r="G469">
        <v>697882.93980227993</v>
      </c>
      <c r="H469">
        <v>1.0450109443950868</v>
      </c>
    </row>
    <row r="470" spans="1:8" x14ac:dyDescent="0.5">
      <c r="A470" s="1">
        <v>43783</v>
      </c>
      <c r="B470">
        <v>410040</v>
      </c>
      <c r="C470">
        <v>324570.61</v>
      </c>
      <c r="D470">
        <v>0</v>
      </c>
      <c r="E470">
        <v>734610.61</v>
      </c>
      <c r="F470">
        <v>0</v>
      </c>
      <c r="G470">
        <v>697882.93980227993</v>
      </c>
      <c r="H470">
        <v>1.0526272646930237</v>
      </c>
    </row>
    <row r="471" spans="1:8" x14ac:dyDescent="0.5">
      <c r="A471" s="1">
        <v>43784</v>
      </c>
      <c r="B471">
        <v>407972.5</v>
      </c>
      <c r="C471">
        <v>324570.61</v>
      </c>
      <c r="D471">
        <v>0</v>
      </c>
      <c r="E471">
        <v>732543.11</v>
      </c>
      <c r="F471">
        <v>0</v>
      </c>
      <c r="G471">
        <v>697882.93980227993</v>
      </c>
      <c r="H471">
        <v>1.0496647334688247</v>
      </c>
    </row>
    <row r="472" spans="1:8" x14ac:dyDescent="0.5">
      <c r="A472" s="1">
        <v>43787</v>
      </c>
      <c r="B472">
        <v>408537.5</v>
      </c>
      <c r="C472">
        <v>404570.61</v>
      </c>
      <c r="D472">
        <v>80000</v>
      </c>
      <c r="E472">
        <v>813108.11</v>
      </c>
      <c r="F472">
        <v>76214.811690990304</v>
      </c>
      <c r="G472">
        <v>774097.75149327028</v>
      </c>
      <c r="H472">
        <v>1.0503946154493757</v>
      </c>
    </row>
    <row r="473" spans="1:8" x14ac:dyDescent="0.5">
      <c r="A473" s="1">
        <v>43788</v>
      </c>
      <c r="B473">
        <v>415752.5</v>
      </c>
      <c r="C473">
        <v>404570.61</v>
      </c>
      <c r="D473">
        <v>0</v>
      </c>
      <c r="E473">
        <v>820323.11</v>
      </c>
      <c r="F473">
        <v>0</v>
      </c>
      <c r="G473">
        <v>774097.75149327028</v>
      </c>
      <c r="H473">
        <v>1.0597151437496866</v>
      </c>
    </row>
    <row r="474" spans="1:8" x14ac:dyDescent="0.5">
      <c r="A474" s="1">
        <v>43789</v>
      </c>
      <c r="B474">
        <v>412955</v>
      </c>
      <c r="C474">
        <v>404570.61</v>
      </c>
      <c r="D474">
        <v>0</v>
      </c>
      <c r="E474">
        <v>817525.61</v>
      </c>
      <c r="F474">
        <v>0</v>
      </c>
      <c r="G474">
        <v>774097.75149327028</v>
      </c>
      <c r="H474">
        <v>1.0561012590760732</v>
      </c>
    </row>
    <row r="475" spans="1:8" x14ac:dyDescent="0.5">
      <c r="A475" s="1">
        <v>43790</v>
      </c>
      <c r="B475">
        <v>411465</v>
      </c>
      <c r="C475">
        <v>404570.61</v>
      </c>
      <c r="D475">
        <v>0</v>
      </c>
      <c r="E475">
        <v>816035.61</v>
      </c>
      <c r="F475">
        <v>0</v>
      </c>
      <c r="G475">
        <v>774097.75149327028</v>
      </c>
      <c r="H475">
        <v>1.0541764375698413</v>
      </c>
    </row>
    <row r="476" spans="1:8" x14ac:dyDescent="0.5">
      <c r="A476" s="1">
        <v>43791</v>
      </c>
      <c r="B476">
        <v>398195</v>
      </c>
      <c r="C476">
        <v>404570.61</v>
      </c>
      <c r="D476">
        <v>0</v>
      </c>
      <c r="E476">
        <v>802765.61</v>
      </c>
      <c r="F476">
        <v>0</v>
      </c>
      <c r="G476">
        <v>774097.75149327028</v>
      </c>
      <c r="H476">
        <v>1.0370338997257493</v>
      </c>
    </row>
    <row r="477" spans="1:8" x14ac:dyDescent="0.5">
      <c r="A477" s="1">
        <v>43794</v>
      </c>
      <c r="B477">
        <v>391395</v>
      </c>
      <c r="C477">
        <v>404570.61</v>
      </c>
      <c r="D477">
        <v>0</v>
      </c>
      <c r="E477">
        <v>795965.61</v>
      </c>
      <c r="F477">
        <v>0</v>
      </c>
      <c r="G477">
        <v>774097.75149327028</v>
      </c>
      <c r="H477">
        <v>1.0282494794288519</v>
      </c>
    </row>
    <row r="478" spans="1:8" x14ac:dyDescent="0.5">
      <c r="A478" s="1">
        <v>43795</v>
      </c>
      <c r="B478">
        <v>390760</v>
      </c>
      <c r="C478">
        <v>404570.61</v>
      </c>
      <c r="D478">
        <v>0</v>
      </c>
      <c r="E478">
        <v>795330.61</v>
      </c>
      <c r="F478">
        <v>0</v>
      </c>
      <c r="G478">
        <v>774097.75149327028</v>
      </c>
      <c r="H478">
        <v>1.0274291695923035</v>
      </c>
    </row>
    <row r="479" spans="1:8" x14ac:dyDescent="0.5">
      <c r="A479" s="1">
        <v>43796</v>
      </c>
      <c r="B479">
        <v>394985</v>
      </c>
      <c r="C479">
        <v>404570.61</v>
      </c>
      <c r="D479">
        <v>0</v>
      </c>
      <c r="E479">
        <v>799555.61</v>
      </c>
      <c r="F479">
        <v>0</v>
      </c>
      <c r="G479">
        <v>774097.75149327028</v>
      </c>
      <c r="H479">
        <v>1.0328871366150081</v>
      </c>
    </row>
    <row r="480" spans="1:8" x14ac:dyDescent="0.5">
      <c r="A480" s="1">
        <v>43797</v>
      </c>
      <c r="B480">
        <v>395450</v>
      </c>
      <c r="C480">
        <v>404570.61</v>
      </c>
      <c r="D480">
        <v>0</v>
      </c>
      <c r="E480">
        <v>800020.61</v>
      </c>
      <c r="F480">
        <v>0</v>
      </c>
      <c r="G480">
        <v>774097.75149327028</v>
      </c>
      <c r="H480">
        <v>1.0334878359441342</v>
      </c>
    </row>
    <row r="481" spans="1:8" x14ac:dyDescent="0.5">
      <c r="A481" s="1">
        <v>43798</v>
      </c>
      <c r="B481">
        <v>390742.5</v>
      </c>
      <c r="C481">
        <v>404570.61</v>
      </c>
      <c r="D481">
        <v>0</v>
      </c>
      <c r="E481">
        <v>795313.11</v>
      </c>
      <c r="F481">
        <v>0</v>
      </c>
      <c r="G481">
        <v>774097.75149327028</v>
      </c>
      <c r="H481">
        <v>1.0274065626283042</v>
      </c>
    </row>
    <row r="482" spans="1:8" x14ac:dyDescent="0.5">
      <c r="A482" s="1">
        <v>43801</v>
      </c>
      <c r="B482">
        <v>389862.5</v>
      </c>
      <c r="C482">
        <v>404570.61</v>
      </c>
      <c r="D482">
        <v>0</v>
      </c>
      <c r="E482">
        <v>794433.11</v>
      </c>
      <c r="F482">
        <v>0</v>
      </c>
      <c r="G482">
        <v>774097.75149327028</v>
      </c>
      <c r="H482">
        <v>1.0262697552957645</v>
      </c>
    </row>
    <row r="483" spans="1:8" x14ac:dyDescent="0.5">
      <c r="A483" s="1">
        <v>43802</v>
      </c>
      <c r="B483">
        <v>422042.5</v>
      </c>
      <c r="C483">
        <v>378396.24</v>
      </c>
      <c r="D483">
        <v>0</v>
      </c>
      <c r="E483">
        <v>800438.74</v>
      </c>
      <c r="F483">
        <v>0</v>
      </c>
      <c r="G483">
        <v>774097.75149327028</v>
      </c>
      <c r="H483">
        <v>1.0340279873645373</v>
      </c>
    </row>
    <row r="484" spans="1:8" x14ac:dyDescent="0.5">
      <c r="A484" s="1">
        <v>43803</v>
      </c>
      <c r="B484">
        <v>537012.5</v>
      </c>
      <c r="C484">
        <v>265402.34999999998</v>
      </c>
      <c r="D484">
        <v>0</v>
      </c>
      <c r="E484">
        <v>802414.85</v>
      </c>
      <c r="F484">
        <v>0</v>
      </c>
      <c r="G484">
        <v>774097.75149327028</v>
      </c>
      <c r="H484">
        <v>1.0365807786576111</v>
      </c>
    </row>
    <row r="485" spans="1:8" x14ac:dyDescent="0.5">
      <c r="A485" s="1">
        <v>43804</v>
      </c>
      <c r="B485">
        <v>545610</v>
      </c>
      <c r="C485">
        <v>265402.34999999998</v>
      </c>
      <c r="D485">
        <v>0</v>
      </c>
      <c r="E485">
        <v>811012.35</v>
      </c>
      <c r="F485">
        <v>0</v>
      </c>
      <c r="G485">
        <v>774097.75149327028</v>
      </c>
      <c r="H485">
        <v>1.047687257113872</v>
      </c>
    </row>
    <row r="486" spans="1:8" x14ac:dyDescent="0.5">
      <c r="A486" s="1">
        <v>43805</v>
      </c>
      <c r="B486">
        <v>555165</v>
      </c>
      <c r="C486">
        <v>265402.34999999998</v>
      </c>
      <c r="D486">
        <v>0</v>
      </c>
      <c r="E486">
        <v>820567.35</v>
      </c>
      <c r="F486">
        <v>0</v>
      </c>
      <c r="G486">
        <v>774097.75149327028</v>
      </c>
      <c r="H486">
        <v>1.0600306594575268</v>
      </c>
    </row>
    <row r="487" spans="1:8" x14ac:dyDescent="0.5">
      <c r="A487" s="1">
        <v>43808</v>
      </c>
      <c r="B487">
        <v>557777.5</v>
      </c>
      <c r="C487">
        <v>265402.34999999998</v>
      </c>
      <c r="D487">
        <v>0</v>
      </c>
      <c r="E487">
        <v>823179.85</v>
      </c>
      <c r="F487">
        <v>0</v>
      </c>
      <c r="G487">
        <v>774097.75149327028</v>
      </c>
      <c r="H487">
        <v>1.0634055562260039</v>
      </c>
    </row>
    <row r="488" spans="1:8" x14ac:dyDescent="0.5">
      <c r="A488" s="1">
        <v>43809</v>
      </c>
      <c r="B488">
        <v>670030</v>
      </c>
      <c r="C488">
        <v>165792.47999999998</v>
      </c>
      <c r="D488">
        <v>0</v>
      </c>
      <c r="E488">
        <v>835822.48</v>
      </c>
      <c r="F488">
        <v>0</v>
      </c>
      <c r="G488">
        <v>774097.75149327028</v>
      </c>
      <c r="H488">
        <v>1.0797376408698511</v>
      </c>
    </row>
    <row r="489" spans="1:8" x14ac:dyDescent="0.5">
      <c r="A489" s="1">
        <v>43810</v>
      </c>
      <c r="B489">
        <v>666090</v>
      </c>
      <c r="C489">
        <v>165792.47999999998</v>
      </c>
      <c r="D489">
        <v>0</v>
      </c>
      <c r="E489">
        <v>831882.48</v>
      </c>
      <c r="F489">
        <v>0</v>
      </c>
      <c r="G489">
        <v>774097.75149327028</v>
      </c>
      <c r="H489">
        <v>1.0746478444037078</v>
      </c>
    </row>
    <row r="490" spans="1:8" x14ac:dyDescent="0.5">
      <c r="A490" s="1">
        <v>43811</v>
      </c>
      <c r="B490">
        <v>681102.5</v>
      </c>
      <c r="C490">
        <v>165792.47999999998</v>
      </c>
      <c r="D490">
        <v>0</v>
      </c>
      <c r="E490">
        <v>846894.98</v>
      </c>
      <c r="F490">
        <v>0</v>
      </c>
      <c r="G490">
        <v>774097.75149327028</v>
      </c>
      <c r="H490">
        <v>1.0940413899488799</v>
      </c>
    </row>
    <row r="491" spans="1:8" x14ac:dyDescent="0.5">
      <c r="A491" s="1">
        <v>43812</v>
      </c>
      <c r="B491">
        <v>687710</v>
      </c>
      <c r="C491">
        <v>166257.47999999998</v>
      </c>
      <c r="D491">
        <v>0</v>
      </c>
      <c r="E491">
        <v>853967.48</v>
      </c>
      <c r="F491">
        <v>0</v>
      </c>
      <c r="G491">
        <v>774097.75149327028</v>
      </c>
      <c r="H491">
        <v>1.1031778329709101</v>
      </c>
    </row>
    <row r="492" spans="1:8" x14ac:dyDescent="0.5">
      <c r="A492" s="1">
        <v>43815</v>
      </c>
      <c r="B492">
        <v>697345</v>
      </c>
      <c r="C492">
        <v>166257.47999999998</v>
      </c>
      <c r="D492">
        <v>0</v>
      </c>
      <c r="E492">
        <v>863602.48</v>
      </c>
      <c r="F492">
        <v>0</v>
      </c>
      <c r="G492">
        <v>774097.75149327028</v>
      </c>
      <c r="H492">
        <v>1.1156245814357049</v>
      </c>
    </row>
    <row r="493" spans="1:8" x14ac:dyDescent="0.5">
      <c r="A493" s="1">
        <v>43816</v>
      </c>
      <c r="B493">
        <v>862744.50000000012</v>
      </c>
      <c r="C493">
        <v>3241.5899999999674</v>
      </c>
      <c r="D493">
        <v>0</v>
      </c>
      <c r="E493">
        <v>865986.09000000008</v>
      </c>
      <c r="F493">
        <v>0</v>
      </c>
      <c r="G493">
        <v>774097.75149327028</v>
      </c>
      <c r="H493">
        <v>1.1187037920333356</v>
      </c>
    </row>
    <row r="494" spans="1:8" x14ac:dyDescent="0.5">
      <c r="A494" s="1">
        <v>43817</v>
      </c>
      <c r="B494">
        <v>460329.3</v>
      </c>
      <c r="C494">
        <v>479709.90999999992</v>
      </c>
      <c r="D494">
        <v>80000</v>
      </c>
      <c r="E494">
        <v>940039.21</v>
      </c>
      <c r="F494">
        <v>71511.333535925049</v>
      </c>
      <c r="G494">
        <v>845609.0850291953</v>
      </c>
      <c r="H494">
        <v>1.1116711334381471</v>
      </c>
    </row>
    <row r="495" spans="1:8" x14ac:dyDescent="0.5">
      <c r="A495" s="1">
        <v>43818</v>
      </c>
      <c r="B495">
        <v>454426.2</v>
      </c>
      <c r="C495">
        <v>479709.90999999992</v>
      </c>
      <c r="D495">
        <v>0</v>
      </c>
      <c r="E495">
        <v>934136.10999999987</v>
      </c>
      <c r="F495">
        <v>0</v>
      </c>
      <c r="G495">
        <v>845609.0850291953</v>
      </c>
      <c r="H495">
        <v>1.1046902481750751</v>
      </c>
    </row>
    <row r="496" spans="1:8" x14ac:dyDescent="0.5">
      <c r="A496" s="1">
        <v>43819</v>
      </c>
      <c r="B496">
        <v>451321.59999999998</v>
      </c>
      <c r="C496">
        <v>567746.99999999988</v>
      </c>
      <c r="D496">
        <v>87999.88</v>
      </c>
      <c r="E496">
        <v>1019068.5999999999</v>
      </c>
      <c r="F496">
        <v>79660.230680386594</v>
      </c>
      <c r="G496">
        <v>925269.31570958183</v>
      </c>
      <c r="H496">
        <v>1.1013751160855088</v>
      </c>
    </row>
    <row r="497" spans="1:8" x14ac:dyDescent="0.5">
      <c r="A497" s="1">
        <v>43822</v>
      </c>
      <c r="B497">
        <v>174910</v>
      </c>
      <c r="C497">
        <v>832246.62999999989</v>
      </c>
      <c r="D497">
        <v>0</v>
      </c>
      <c r="E497">
        <v>1007156.6299999999</v>
      </c>
      <c r="F497">
        <v>0</v>
      </c>
      <c r="G497">
        <v>925269.31570958183</v>
      </c>
      <c r="H497">
        <v>1.0885010589891002</v>
      </c>
    </row>
    <row r="498" spans="1:8" x14ac:dyDescent="0.5">
      <c r="A498" s="1">
        <v>43823</v>
      </c>
      <c r="B498">
        <v>177962.5</v>
      </c>
      <c r="C498">
        <v>832246.62999999989</v>
      </c>
      <c r="D498">
        <v>0</v>
      </c>
      <c r="E498">
        <v>1010209.1299999999</v>
      </c>
      <c r="F498">
        <v>0</v>
      </c>
      <c r="G498">
        <v>925269.31570958183</v>
      </c>
      <c r="H498">
        <v>1.0918000984667673</v>
      </c>
    </row>
    <row r="499" spans="1:8" x14ac:dyDescent="0.5">
      <c r="A499" s="1">
        <v>43824</v>
      </c>
      <c r="B499">
        <v>258844.40000000002</v>
      </c>
      <c r="C499">
        <v>752631.74999999988</v>
      </c>
      <c r="D499">
        <v>0</v>
      </c>
      <c r="E499">
        <v>1011476.1499999999</v>
      </c>
      <c r="F499">
        <v>0</v>
      </c>
      <c r="G499">
        <v>925269.31570958183</v>
      </c>
      <c r="H499">
        <v>1.0931694511281904</v>
      </c>
    </row>
    <row r="500" spans="1:8" x14ac:dyDescent="0.5">
      <c r="A500" s="1">
        <v>43825</v>
      </c>
      <c r="B500">
        <v>261333.3</v>
      </c>
      <c r="C500">
        <v>752631.74999999988</v>
      </c>
      <c r="D500">
        <v>0</v>
      </c>
      <c r="E500">
        <v>1013965.0499999998</v>
      </c>
      <c r="F500">
        <v>0</v>
      </c>
      <c r="G500">
        <v>925269.31570958183</v>
      </c>
      <c r="H500">
        <v>1.0958593706551243</v>
      </c>
    </row>
    <row r="501" spans="1:8" x14ac:dyDescent="0.5">
      <c r="A501" s="1">
        <v>43826</v>
      </c>
      <c r="B501">
        <v>520586.1</v>
      </c>
      <c r="C501">
        <v>485158.92999999988</v>
      </c>
      <c r="D501">
        <v>0</v>
      </c>
      <c r="E501">
        <v>1005745.0299999998</v>
      </c>
      <c r="F501">
        <v>0</v>
      </c>
      <c r="G501">
        <v>925269.31570958183</v>
      </c>
      <c r="H501">
        <v>1.0869754491195915</v>
      </c>
    </row>
    <row r="502" spans="1:8" x14ac:dyDescent="0.5">
      <c r="A502" s="1">
        <v>43829</v>
      </c>
      <c r="B502">
        <v>786562.9</v>
      </c>
      <c r="C502">
        <v>232744.3599999999</v>
      </c>
      <c r="D502">
        <v>0</v>
      </c>
      <c r="E502">
        <v>1019307.2599999999</v>
      </c>
      <c r="F502">
        <v>0</v>
      </c>
      <c r="G502">
        <v>925269.31570958183</v>
      </c>
      <c r="H502">
        <v>1.1016330517977904</v>
      </c>
    </row>
    <row r="503" spans="1:8" x14ac:dyDescent="0.5">
      <c r="A503" s="1">
        <v>43830</v>
      </c>
      <c r="B503">
        <v>786705.8</v>
      </c>
      <c r="C503">
        <v>232744.3599999999</v>
      </c>
      <c r="D503">
        <v>0</v>
      </c>
      <c r="E503">
        <v>1019450.1599999999</v>
      </c>
      <c r="F503">
        <v>0</v>
      </c>
      <c r="G503">
        <v>925269.31570958183</v>
      </c>
      <c r="H503">
        <v>1.1017874933183012</v>
      </c>
    </row>
    <row r="504" spans="1:8" x14ac:dyDescent="0.5">
      <c r="A504" s="1">
        <v>43832</v>
      </c>
      <c r="B504">
        <v>851053.3</v>
      </c>
      <c r="C504">
        <v>181598.71999999991</v>
      </c>
      <c r="D504">
        <v>0</v>
      </c>
      <c r="E504">
        <v>1032652.02</v>
      </c>
      <c r="F504">
        <v>0</v>
      </c>
      <c r="G504">
        <v>925269.31570958183</v>
      </c>
      <c r="H504">
        <v>1.1160556202040131</v>
      </c>
    </row>
    <row r="505" spans="1:8" x14ac:dyDescent="0.5">
      <c r="A505" s="1">
        <v>43833</v>
      </c>
      <c r="B505">
        <v>849545.6</v>
      </c>
      <c r="C505">
        <v>181598.71999999991</v>
      </c>
      <c r="D505">
        <v>0</v>
      </c>
      <c r="E505">
        <v>1031144.3199999998</v>
      </c>
      <c r="F505">
        <v>0</v>
      </c>
      <c r="G505">
        <v>925269.31570958183</v>
      </c>
      <c r="H505">
        <v>1.1144261486821523</v>
      </c>
    </row>
    <row r="506" spans="1:8" x14ac:dyDescent="0.5">
      <c r="A506" s="1">
        <v>43836</v>
      </c>
      <c r="B506">
        <v>933378.89999999991</v>
      </c>
      <c r="C506">
        <v>103948.22999999991</v>
      </c>
      <c r="D506">
        <v>0</v>
      </c>
      <c r="E506">
        <v>1037327.1299999998</v>
      </c>
      <c r="F506">
        <v>0</v>
      </c>
      <c r="G506">
        <v>925269.31570958183</v>
      </c>
      <c r="H506">
        <v>1.1211083220721327</v>
      </c>
    </row>
    <row r="507" spans="1:8" x14ac:dyDescent="0.5">
      <c r="A507" s="1">
        <v>43837</v>
      </c>
      <c r="B507">
        <v>941803.7</v>
      </c>
      <c r="C507">
        <v>103948.22999999991</v>
      </c>
      <c r="D507">
        <v>0</v>
      </c>
      <c r="E507">
        <v>1045751.9299999998</v>
      </c>
      <c r="F507">
        <v>0</v>
      </c>
      <c r="G507">
        <v>925269.31570958183</v>
      </c>
      <c r="H507">
        <v>1.1302135629538528</v>
      </c>
    </row>
    <row r="508" spans="1:8" x14ac:dyDescent="0.5">
      <c r="A508" s="1">
        <v>43838</v>
      </c>
      <c r="B508">
        <v>923706.69999999984</v>
      </c>
      <c r="C508">
        <v>103948.22999999991</v>
      </c>
      <c r="D508">
        <v>0</v>
      </c>
      <c r="E508">
        <v>1027654.9299999997</v>
      </c>
      <c r="F508">
        <v>0</v>
      </c>
      <c r="G508">
        <v>925269.31570958183</v>
      </c>
      <c r="H508">
        <v>1.1106549331660254</v>
      </c>
    </row>
    <row r="509" spans="1:8" x14ac:dyDescent="0.5">
      <c r="A509" s="1">
        <v>43839</v>
      </c>
      <c r="B509">
        <v>942815.3</v>
      </c>
      <c r="C509">
        <v>103948.22999999991</v>
      </c>
      <c r="D509">
        <v>0</v>
      </c>
      <c r="E509">
        <v>1046763.5299999999</v>
      </c>
      <c r="F509">
        <v>0</v>
      </c>
      <c r="G509">
        <v>925269.31570958183</v>
      </c>
      <c r="H509">
        <v>1.1313068662579016</v>
      </c>
    </row>
    <row r="510" spans="1:8" x14ac:dyDescent="0.5">
      <c r="A510" s="1">
        <v>43840</v>
      </c>
      <c r="B510">
        <v>945930.20000000007</v>
      </c>
      <c r="C510">
        <v>103948.22999999991</v>
      </c>
      <c r="D510">
        <v>0</v>
      </c>
      <c r="E510">
        <v>1049878.43</v>
      </c>
      <c r="F510">
        <v>0</v>
      </c>
      <c r="G510">
        <v>925269.31570958183</v>
      </c>
      <c r="H510">
        <v>1.1346733455597804</v>
      </c>
    </row>
    <row r="511" spans="1:8" x14ac:dyDescent="0.5">
      <c r="A511" s="1">
        <v>43843</v>
      </c>
      <c r="B511">
        <v>849024.9</v>
      </c>
      <c r="C511">
        <v>277434.16999999993</v>
      </c>
      <c r="D511">
        <v>60000</v>
      </c>
      <c r="E511">
        <v>1126459.0699999998</v>
      </c>
      <c r="F511">
        <v>52878.654667259827</v>
      </c>
      <c r="G511">
        <v>978147.97037684161</v>
      </c>
      <c r="H511">
        <v>1.1516244005148013</v>
      </c>
    </row>
    <row r="512" spans="1:8" x14ac:dyDescent="0.5">
      <c r="A512" s="1">
        <v>43844</v>
      </c>
      <c r="B512">
        <v>934844.90000000014</v>
      </c>
      <c r="C512">
        <v>185028.4599999999</v>
      </c>
      <c r="D512">
        <v>0</v>
      </c>
      <c r="E512">
        <v>1119873.3600000001</v>
      </c>
      <c r="F512">
        <v>0</v>
      </c>
      <c r="G512">
        <v>978147.97037684161</v>
      </c>
      <c r="H512">
        <v>1.1448915643801389</v>
      </c>
    </row>
    <row r="513" spans="1:8" x14ac:dyDescent="0.5">
      <c r="A513" s="1">
        <v>43845</v>
      </c>
      <c r="B513">
        <v>937693.39999999991</v>
      </c>
      <c r="C513">
        <v>185028.4599999999</v>
      </c>
      <c r="D513">
        <v>0</v>
      </c>
      <c r="E513">
        <v>1122721.8599999999</v>
      </c>
      <c r="F513">
        <v>0</v>
      </c>
      <c r="G513">
        <v>978147.97037684161</v>
      </c>
      <c r="H513">
        <v>1.1478037004641124</v>
      </c>
    </row>
    <row r="514" spans="1:8" x14ac:dyDescent="0.5">
      <c r="A514" s="1">
        <v>43846</v>
      </c>
      <c r="B514">
        <v>1022773.3999999999</v>
      </c>
      <c r="C514">
        <v>98790.099999999904</v>
      </c>
      <c r="D514">
        <v>0</v>
      </c>
      <c r="E514">
        <v>1121563.4999999998</v>
      </c>
      <c r="F514">
        <v>0</v>
      </c>
      <c r="G514">
        <v>978147.97037684161</v>
      </c>
      <c r="H514">
        <v>1.1466194624601693</v>
      </c>
    </row>
    <row r="515" spans="1:8" x14ac:dyDescent="0.5">
      <c r="A515" s="1">
        <v>43847</v>
      </c>
      <c r="B515">
        <v>1021507.4</v>
      </c>
      <c r="C515">
        <v>98790.099999999904</v>
      </c>
      <c r="D515">
        <v>0</v>
      </c>
      <c r="E515">
        <v>1120297.5</v>
      </c>
      <c r="F515">
        <v>0</v>
      </c>
      <c r="G515">
        <v>978147.97037684161</v>
      </c>
      <c r="H515">
        <v>1.1453251797561812</v>
      </c>
    </row>
    <row r="516" spans="1:8" x14ac:dyDescent="0.5">
      <c r="A516" s="1">
        <v>43850</v>
      </c>
      <c r="B516">
        <v>1050073.4000000001</v>
      </c>
      <c r="C516">
        <v>98790.099999999904</v>
      </c>
      <c r="D516">
        <v>0</v>
      </c>
      <c r="E516">
        <v>1148863.5</v>
      </c>
      <c r="F516">
        <v>0</v>
      </c>
      <c r="G516">
        <v>978147.97037684161</v>
      </c>
      <c r="H516">
        <v>1.1745293501528082</v>
      </c>
    </row>
    <row r="517" spans="1:8" x14ac:dyDescent="0.5">
      <c r="A517" s="1">
        <v>43851</v>
      </c>
      <c r="B517">
        <v>1111691.9000000001</v>
      </c>
      <c r="C517">
        <v>27662.229999999909</v>
      </c>
      <c r="D517">
        <v>0</v>
      </c>
      <c r="E517">
        <v>1139354.1300000001</v>
      </c>
      <c r="F517">
        <v>0</v>
      </c>
      <c r="G517">
        <v>978147.97037684161</v>
      </c>
      <c r="H517">
        <v>1.1648075388440997</v>
      </c>
    </row>
    <row r="518" spans="1:8" x14ac:dyDescent="0.5">
      <c r="A518" s="1">
        <v>43852</v>
      </c>
      <c r="B518">
        <v>860203.7</v>
      </c>
      <c r="C518">
        <v>452071.90999999992</v>
      </c>
      <c r="D518">
        <v>155799.19</v>
      </c>
      <c r="E518">
        <v>1312275.6099999999</v>
      </c>
      <c r="F518">
        <v>133755.30703948552</v>
      </c>
      <c r="G518">
        <v>1111903.277416327</v>
      </c>
      <c r="H518">
        <v>1.1802066210734334</v>
      </c>
    </row>
    <row r="519" spans="1:8" x14ac:dyDescent="0.5">
      <c r="A519" s="1">
        <v>43853</v>
      </c>
      <c r="B519">
        <v>1034124</v>
      </c>
      <c r="C519">
        <v>244299.78999999992</v>
      </c>
      <c r="D519">
        <v>0</v>
      </c>
      <c r="E519">
        <v>1278423.79</v>
      </c>
      <c r="F519">
        <v>0</v>
      </c>
      <c r="G519">
        <v>1111903.277416327</v>
      </c>
      <c r="H519">
        <v>1.1497616887780098</v>
      </c>
    </row>
    <row r="520" spans="1:8" x14ac:dyDescent="0.5">
      <c r="A520" s="1">
        <v>43864</v>
      </c>
      <c r="B520">
        <v>1078911.6000000001</v>
      </c>
      <c r="C520">
        <v>105635.61999999994</v>
      </c>
      <c r="D520">
        <v>113.45</v>
      </c>
      <c r="E520">
        <v>1184547.22</v>
      </c>
      <c r="F520">
        <v>98.672621559148467</v>
      </c>
      <c r="G520">
        <v>1112001.9500378862</v>
      </c>
      <c r="H520">
        <v>1.0652384377200437</v>
      </c>
    </row>
    <row r="521" spans="1:8" x14ac:dyDescent="0.5">
      <c r="A521" s="1">
        <v>43865</v>
      </c>
      <c r="B521">
        <v>620482.19999999995</v>
      </c>
      <c r="C521">
        <v>644240.21</v>
      </c>
      <c r="D521">
        <v>29098.59</v>
      </c>
      <c r="E521">
        <v>1264722.4099999999</v>
      </c>
      <c r="F521">
        <v>27316.503957818528</v>
      </c>
      <c r="G521">
        <v>1139318.4539957047</v>
      </c>
      <c r="H521">
        <v>1.1100692748059078</v>
      </c>
    </row>
    <row r="522" spans="1:8" x14ac:dyDescent="0.5">
      <c r="A522" s="1">
        <v>43866</v>
      </c>
      <c r="B522">
        <v>508792.5</v>
      </c>
      <c r="C522">
        <v>771975.45</v>
      </c>
      <c r="D522">
        <v>0</v>
      </c>
      <c r="E522">
        <v>1280767.95</v>
      </c>
      <c r="F522">
        <v>0</v>
      </c>
      <c r="G522">
        <v>1139318.4539957047</v>
      </c>
      <c r="H522">
        <v>1.124152729650097</v>
      </c>
    </row>
    <row r="523" spans="1:8" x14ac:dyDescent="0.5">
      <c r="A523" s="1">
        <v>43867</v>
      </c>
      <c r="B523">
        <v>525365.10000000009</v>
      </c>
      <c r="C523">
        <v>771975.45</v>
      </c>
      <c r="D523">
        <v>0</v>
      </c>
      <c r="E523">
        <v>1297340.55</v>
      </c>
      <c r="F523">
        <v>0</v>
      </c>
      <c r="G523">
        <v>1139318.4539957047</v>
      </c>
      <c r="H523">
        <v>1.1386987943977349</v>
      </c>
    </row>
    <row r="524" spans="1:8" x14ac:dyDescent="0.5">
      <c r="A524" s="1">
        <v>43868</v>
      </c>
      <c r="B524">
        <v>732548.6</v>
      </c>
      <c r="C524">
        <v>565272.05999999994</v>
      </c>
      <c r="D524">
        <v>0</v>
      </c>
      <c r="E524">
        <v>1297820.6599999999</v>
      </c>
      <c r="F524">
        <v>0</v>
      </c>
      <c r="G524">
        <v>1139318.4539957047</v>
      </c>
      <c r="H524">
        <v>1.139120195454056</v>
      </c>
    </row>
    <row r="525" spans="1:8" x14ac:dyDescent="0.5">
      <c r="A525" s="1">
        <v>43871</v>
      </c>
      <c r="B525">
        <v>818945.29999999993</v>
      </c>
      <c r="C525">
        <v>485763.20999999996</v>
      </c>
      <c r="D525">
        <v>0</v>
      </c>
      <c r="E525">
        <v>1304708.5099999998</v>
      </c>
      <c r="F525">
        <v>0</v>
      </c>
      <c r="G525">
        <v>1139318.4539957047</v>
      </c>
      <c r="H525">
        <v>1.1451657834771793</v>
      </c>
    </row>
    <row r="526" spans="1:8" x14ac:dyDescent="0.5">
      <c r="A526" s="1">
        <v>43872</v>
      </c>
      <c r="B526">
        <v>831595.29999999993</v>
      </c>
      <c r="C526">
        <v>470678.20999999996</v>
      </c>
      <c r="D526">
        <v>0</v>
      </c>
      <c r="E526">
        <v>1302273.5099999998</v>
      </c>
      <c r="F526">
        <v>0</v>
      </c>
      <c r="G526">
        <v>1139318.4539957047</v>
      </c>
      <c r="H526">
        <v>1.1430285408199923</v>
      </c>
    </row>
    <row r="527" spans="1:8" x14ac:dyDescent="0.5">
      <c r="A527" s="1">
        <v>43873</v>
      </c>
      <c r="B527">
        <v>1052938.5</v>
      </c>
      <c r="C527">
        <v>275358.63</v>
      </c>
      <c r="D527">
        <v>0</v>
      </c>
      <c r="E527">
        <v>1328297.1299999999</v>
      </c>
      <c r="F527">
        <v>0</v>
      </c>
      <c r="G527">
        <v>1139318.4539957047</v>
      </c>
      <c r="H527">
        <v>1.165869933328586</v>
      </c>
    </row>
    <row r="528" spans="1:8" x14ac:dyDescent="0.5">
      <c r="A528" s="1">
        <v>43874</v>
      </c>
      <c r="B528">
        <v>1104875.3999999999</v>
      </c>
      <c r="C528">
        <v>216540.99</v>
      </c>
      <c r="D528">
        <v>0</v>
      </c>
      <c r="E528">
        <v>1321416.3899999999</v>
      </c>
      <c r="F528">
        <v>0</v>
      </c>
      <c r="G528">
        <v>1139318.4539957047</v>
      </c>
      <c r="H528">
        <v>1.1598305858784781</v>
      </c>
    </row>
    <row r="529" spans="1:8" x14ac:dyDescent="0.5">
      <c r="A529" s="1">
        <v>43875</v>
      </c>
      <c r="B529">
        <v>1162005.1000000001</v>
      </c>
      <c r="C529">
        <v>158581.60999999999</v>
      </c>
      <c r="D529">
        <v>0</v>
      </c>
      <c r="E529">
        <v>1320586.71</v>
      </c>
      <c r="F529">
        <v>0</v>
      </c>
      <c r="G529">
        <v>1139318.4539957047</v>
      </c>
      <c r="H529">
        <v>1.1591023610374862</v>
      </c>
    </row>
    <row r="530" spans="1:8" x14ac:dyDescent="0.5">
      <c r="A530" s="1">
        <v>43878</v>
      </c>
      <c r="B530">
        <v>1282644.8</v>
      </c>
      <c r="C530">
        <v>79857.999999999985</v>
      </c>
      <c r="D530">
        <v>0</v>
      </c>
      <c r="E530">
        <v>1362502.8</v>
      </c>
      <c r="F530">
        <v>0</v>
      </c>
      <c r="G530">
        <v>1139318.4539957047</v>
      </c>
      <c r="H530">
        <v>1.195892856138304</v>
      </c>
    </row>
    <row r="531" spans="1:8" x14ac:dyDescent="0.5">
      <c r="A531" s="1">
        <v>43879</v>
      </c>
      <c r="B531">
        <v>1350249.3</v>
      </c>
      <c r="C531">
        <v>32562.869999999995</v>
      </c>
      <c r="D531">
        <v>0</v>
      </c>
      <c r="E531">
        <v>1382812.17</v>
      </c>
      <c r="F531">
        <v>0</v>
      </c>
      <c r="G531">
        <v>1139318.4539957047</v>
      </c>
      <c r="H531">
        <v>1.2137187501442974</v>
      </c>
    </row>
    <row r="532" spans="1:8" x14ac:dyDescent="0.5">
      <c r="A532" s="1">
        <v>43880</v>
      </c>
      <c r="B532">
        <v>1363413.6</v>
      </c>
      <c r="C532">
        <v>1975.0099999999948</v>
      </c>
      <c r="D532">
        <v>0</v>
      </c>
      <c r="E532">
        <v>1365388.61</v>
      </c>
      <c r="F532">
        <v>0</v>
      </c>
      <c r="G532">
        <v>1139318.4539957047</v>
      </c>
      <c r="H532">
        <v>1.198425782722508</v>
      </c>
    </row>
    <row r="533" spans="1:8" x14ac:dyDescent="0.5">
      <c r="A533" s="1">
        <v>43881</v>
      </c>
      <c r="B533">
        <v>1405380.3</v>
      </c>
      <c r="C533">
        <v>1975.0099999999948</v>
      </c>
      <c r="D533">
        <v>0</v>
      </c>
      <c r="E533">
        <v>1407355.31</v>
      </c>
      <c r="F533">
        <v>0</v>
      </c>
      <c r="G533">
        <v>1139318.4539957047</v>
      </c>
      <c r="H533">
        <v>1.2352606991173216</v>
      </c>
    </row>
    <row r="534" spans="1:8" x14ac:dyDescent="0.5">
      <c r="A534" s="1">
        <v>43882</v>
      </c>
      <c r="B534">
        <v>1431200.1</v>
      </c>
      <c r="C534">
        <v>1975.0099999999948</v>
      </c>
      <c r="D534">
        <v>0</v>
      </c>
      <c r="E534">
        <v>1433175.11</v>
      </c>
      <c r="F534">
        <v>0</v>
      </c>
      <c r="G534">
        <v>1139318.4539957047</v>
      </c>
      <c r="H534">
        <v>1.2579231951994725</v>
      </c>
    </row>
    <row r="535" spans="1:8" x14ac:dyDescent="0.5">
      <c r="A535" s="1">
        <v>43885</v>
      </c>
      <c r="B535">
        <v>1472041.2000000002</v>
      </c>
      <c r="C535">
        <v>101975.01</v>
      </c>
      <c r="D535">
        <v>100000</v>
      </c>
      <c r="E535">
        <v>1574016.2100000002</v>
      </c>
      <c r="F535">
        <v>79496.10944580978</v>
      </c>
      <c r="G535">
        <v>1218814.5634415145</v>
      </c>
      <c r="H535">
        <v>1.2914320662164702</v>
      </c>
    </row>
    <row r="536" spans="1:8" x14ac:dyDescent="0.5">
      <c r="A536" s="1">
        <v>43886</v>
      </c>
      <c r="B536">
        <v>1104528.976</v>
      </c>
      <c r="C536">
        <v>445854.3600000001</v>
      </c>
      <c r="D536">
        <v>0</v>
      </c>
      <c r="E536">
        <v>1550383.3360000001</v>
      </c>
      <c r="F536">
        <v>0</v>
      </c>
      <c r="G536">
        <v>1218814.5634415145</v>
      </c>
      <c r="H536">
        <v>1.272042017304297</v>
      </c>
    </row>
    <row r="537" spans="1:8" x14ac:dyDescent="0.5">
      <c r="A537" s="1">
        <v>43887</v>
      </c>
      <c r="B537">
        <v>0</v>
      </c>
      <c r="C537">
        <v>1512758.33</v>
      </c>
      <c r="D537">
        <v>0</v>
      </c>
      <c r="E537">
        <v>1512758.33</v>
      </c>
      <c r="F537">
        <v>0</v>
      </c>
      <c r="G537">
        <v>1218814.5634415145</v>
      </c>
      <c r="H537">
        <v>1.2411718528604458</v>
      </c>
    </row>
    <row r="538" spans="1:8" x14ac:dyDescent="0.5">
      <c r="A538" s="1">
        <v>43888</v>
      </c>
      <c r="B538">
        <v>0</v>
      </c>
      <c r="C538">
        <v>1512758.33</v>
      </c>
      <c r="D538">
        <v>0</v>
      </c>
      <c r="E538">
        <v>1512758.33</v>
      </c>
      <c r="F538">
        <v>0</v>
      </c>
      <c r="G538">
        <v>1218814.5634415145</v>
      </c>
      <c r="H538">
        <v>1.2411718528604458</v>
      </c>
    </row>
    <row r="539" spans="1:8" x14ac:dyDescent="0.5">
      <c r="A539" s="1">
        <v>43889</v>
      </c>
      <c r="B539">
        <v>0</v>
      </c>
      <c r="C539">
        <v>1512758.33</v>
      </c>
      <c r="D539">
        <v>0</v>
      </c>
      <c r="E539">
        <v>1512758.33</v>
      </c>
      <c r="F539">
        <v>0</v>
      </c>
      <c r="G539">
        <v>1218814.5634415145</v>
      </c>
      <c r="H539">
        <v>1.2411718528604458</v>
      </c>
    </row>
    <row r="540" spans="1:8" x14ac:dyDescent="0.5">
      <c r="A540" s="1">
        <v>43892</v>
      </c>
      <c r="B540">
        <v>0</v>
      </c>
      <c r="C540">
        <v>1512758.33</v>
      </c>
      <c r="D540">
        <v>0</v>
      </c>
      <c r="E540">
        <v>1512758.33</v>
      </c>
      <c r="F540">
        <v>0</v>
      </c>
      <c r="G540">
        <v>1218814.5634415145</v>
      </c>
      <c r="H540">
        <v>1.2411718528604458</v>
      </c>
    </row>
    <row r="541" spans="1:8" x14ac:dyDescent="0.5">
      <c r="A541" s="1">
        <v>43893</v>
      </c>
      <c r="B541">
        <v>0</v>
      </c>
      <c r="C541">
        <v>1512758.33</v>
      </c>
      <c r="D541">
        <v>0</v>
      </c>
      <c r="E541">
        <v>1512758.33</v>
      </c>
      <c r="F541">
        <v>0</v>
      </c>
      <c r="G541">
        <v>1218814.5634415145</v>
      </c>
      <c r="H541">
        <v>1.2411718528604458</v>
      </c>
    </row>
    <row r="542" spans="1:8" x14ac:dyDescent="0.5">
      <c r="A542" s="1">
        <v>43894</v>
      </c>
      <c r="B542">
        <v>0</v>
      </c>
      <c r="C542">
        <v>1512758.33</v>
      </c>
      <c r="D542">
        <v>0</v>
      </c>
      <c r="E542">
        <v>1512758.33</v>
      </c>
      <c r="F542">
        <v>0</v>
      </c>
      <c r="G542">
        <v>1218814.5634415145</v>
      </c>
      <c r="H542">
        <v>1.2411718528604458</v>
      </c>
    </row>
    <row r="543" spans="1:8" x14ac:dyDescent="0.5">
      <c r="A543" s="1">
        <v>43895</v>
      </c>
      <c r="B543">
        <v>0</v>
      </c>
      <c r="C543">
        <v>1512758.33</v>
      </c>
      <c r="D543">
        <v>0</v>
      </c>
      <c r="E543">
        <v>1512758.33</v>
      </c>
      <c r="F543">
        <v>0</v>
      </c>
      <c r="G543">
        <v>1218814.5634415145</v>
      </c>
      <c r="H543">
        <v>1.2411718528604458</v>
      </c>
    </row>
    <row r="544" spans="1:8" x14ac:dyDescent="0.5">
      <c r="A544" s="1">
        <v>43896</v>
      </c>
      <c r="B544">
        <v>103808</v>
      </c>
      <c r="C544">
        <v>1407638.8</v>
      </c>
      <c r="D544">
        <v>0</v>
      </c>
      <c r="E544">
        <v>1511446.8</v>
      </c>
      <c r="F544">
        <v>0</v>
      </c>
      <c r="G544">
        <v>1218814.5634415145</v>
      </c>
      <c r="H544">
        <v>1.2400957826859178</v>
      </c>
    </row>
    <row r="545" spans="1:8" x14ac:dyDescent="0.5">
      <c r="A545" s="1">
        <v>43899</v>
      </c>
      <c r="B545">
        <v>173634</v>
      </c>
      <c r="C545">
        <v>1332245.6800000002</v>
      </c>
      <c r="D545">
        <v>0</v>
      </c>
      <c r="E545">
        <v>1505879.6800000002</v>
      </c>
      <c r="F545">
        <v>0</v>
      </c>
      <c r="G545">
        <v>1218814.5634415145</v>
      </c>
      <c r="H545">
        <v>1.2355281313245159</v>
      </c>
    </row>
    <row r="546" spans="1:8" x14ac:dyDescent="0.5">
      <c r="A546" s="1">
        <v>43900</v>
      </c>
      <c r="B546">
        <v>176962</v>
      </c>
      <c r="C546">
        <v>1332245.6800000002</v>
      </c>
      <c r="D546">
        <v>0</v>
      </c>
      <c r="E546">
        <v>1509207.6800000002</v>
      </c>
      <c r="F546">
        <v>0</v>
      </c>
      <c r="G546">
        <v>1218814.5634415145</v>
      </c>
      <c r="H546">
        <v>1.2382586533414197</v>
      </c>
    </row>
    <row r="547" spans="1:8" x14ac:dyDescent="0.5">
      <c r="A547" s="1">
        <v>43901</v>
      </c>
      <c r="B547">
        <v>174014</v>
      </c>
      <c r="C547">
        <v>1132245.6800000002</v>
      </c>
      <c r="D547">
        <v>-200000</v>
      </c>
      <c r="E547">
        <v>1306259.6800000002</v>
      </c>
      <c r="F547">
        <v>-161517.14301394418</v>
      </c>
      <c r="G547">
        <v>1057297.4204275704</v>
      </c>
      <c r="H547">
        <v>1.2354704123573381</v>
      </c>
    </row>
    <row r="548" spans="1:8" x14ac:dyDescent="0.5">
      <c r="A548" s="1">
        <v>43902</v>
      </c>
      <c r="B548">
        <v>71295</v>
      </c>
      <c r="C548">
        <v>1229112.6100000001</v>
      </c>
      <c r="D548">
        <v>0</v>
      </c>
      <c r="E548">
        <v>1300407.6100000001</v>
      </c>
      <c r="F548">
        <v>0</v>
      </c>
      <c r="G548">
        <v>1057297.4204275704</v>
      </c>
      <c r="H548">
        <v>1.2299354797197142</v>
      </c>
    </row>
    <row r="549" spans="1:8" x14ac:dyDescent="0.5">
      <c r="A549" s="1">
        <v>43903</v>
      </c>
      <c r="B549">
        <v>78473</v>
      </c>
      <c r="C549">
        <v>1229112.6100000001</v>
      </c>
      <c r="D549">
        <v>0</v>
      </c>
      <c r="E549">
        <v>1307585.6100000001</v>
      </c>
      <c r="F549">
        <v>0</v>
      </c>
      <c r="G549">
        <v>1057297.4204275704</v>
      </c>
      <c r="H549">
        <v>1.2367244871090419</v>
      </c>
    </row>
    <row r="550" spans="1:8" x14ac:dyDescent="0.5">
      <c r="A550" s="1">
        <v>43906</v>
      </c>
      <c r="B550">
        <v>0</v>
      </c>
      <c r="C550">
        <v>1305447.7200000002</v>
      </c>
      <c r="D550">
        <v>0</v>
      </c>
      <c r="E550">
        <v>1305447.7200000002</v>
      </c>
      <c r="F550">
        <v>0</v>
      </c>
      <c r="G550">
        <v>1057297.4204275704</v>
      </c>
      <c r="H550">
        <v>1.234702454369063</v>
      </c>
    </row>
    <row r="551" spans="1:8" x14ac:dyDescent="0.5">
      <c r="A551" s="1">
        <v>43907</v>
      </c>
      <c r="B551">
        <v>0</v>
      </c>
      <c r="C551">
        <v>1305447.7200000002</v>
      </c>
      <c r="D551">
        <v>0</v>
      </c>
      <c r="E551">
        <v>1305447.7200000002</v>
      </c>
      <c r="F551">
        <v>0</v>
      </c>
      <c r="G551">
        <v>1057297.4204275704</v>
      </c>
      <c r="H551">
        <v>1.234702454369063</v>
      </c>
    </row>
    <row r="552" spans="1:8" x14ac:dyDescent="0.5">
      <c r="A552" s="1">
        <v>43908</v>
      </c>
      <c r="B552">
        <v>0</v>
      </c>
      <c r="C552">
        <v>1305447.7200000002</v>
      </c>
      <c r="D552">
        <v>0</v>
      </c>
      <c r="E552">
        <v>1305447.7200000002</v>
      </c>
      <c r="F552">
        <v>0</v>
      </c>
      <c r="G552">
        <v>1057297.4204275704</v>
      </c>
      <c r="H552">
        <v>1.234702454369063</v>
      </c>
    </row>
    <row r="553" spans="1:8" x14ac:dyDescent="0.5">
      <c r="A553" s="1">
        <v>43909</v>
      </c>
      <c r="B553">
        <v>0</v>
      </c>
      <c r="C553">
        <v>1305447.7200000002</v>
      </c>
      <c r="D553">
        <v>0</v>
      </c>
      <c r="E553">
        <v>1305447.7200000002</v>
      </c>
      <c r="F553">
        <v>0</v>
      </c>
      <c r="G553">
        <v>1057297.4204275704</v>
      </c>
      <c r="H553">
        <v>1.234702454369063</v>
      </c>
    </row>
    <row r="554" spans="1:8" x14ac:dyDescent="0.5">
      <c r="A554" s="1">
        <v>43910</v>
      </c>
      <c r="B554">
        <v>0</v>
      </c>
      <c r="C554">
        <v>1305480.2200000002</v>
      </c>
      <c r="D554">
        <v>0</v>
      </c>
      <c r="E554">
        <v>1305480.2200000002</v>
      </c>
      <c r="F554">
        <v>0</v>
      </c>
      <c r="G554">
        <v>1057297.4204275704</v>
      </c>
      <c r="H554">
        <v>1.2347331931180394</v>
      </c>
    </row>
    <row r="555" spans="1:8" x14ac:dyDescent="0.5">
      <c r="A555" s="1">
        <v>43913</v>
      </c>
      <c r="B555">
        <v>0</v>
      </c>
      <c r="C555">
        <v>305480.2200000002</v>
      </c>
      <c r="D555">
        <v>-1000000</v>
      </c>
      <c r="E555">
        <v>305480.2200000002</v>
      </c>
      <c r="F555">
        <v>-809891.56651302637</v>
      </c>
      <c r="G555">
        <v>247405.85391454399</v>
      </c>
      <c r="H555">
        <v>1.2347331931180399</v>
      </c>
    </row>
    <row r="556" spans="1:8" x14ac:dyDescent="0.5">
      <c r="A556" s="1">
        <v>43914</v>
      </c>
      <c r="B556">
        <v>0</v>
      </c>
      <c r="C556">
        <v>305480.2200000002</v>
      </c>
      <c r="D556">
        <v>0</v>
      </c>
      <c r="E556">
        <v>305480.2200000002</v>
      </c>
      <c r="F556">
        <v>0</v>
      </c>
      <c r="G556">
        <v>247405.85391454399</v>
      </c>
      <c r="H556">
        <v>1.2347331931180399</v>
      </c>
    </row>
    <row r="557" spans="1:8" x14ac:dyDescent="0.5">
      <c r="A557" s="1">
        <v>43915</v>
      </c>
      <c r="B557">
        <v>0</v>
      </c>
      <c r="C557">
        <v>305480.2200000002</v>
      </c>
      <c r="D557">
        <v>0</v>
      </c>
      <c r="E557">
        <v>305480.2200000002</v>
      </c>
      <c r="F557">
        <v>0</v>
      </c>
      <c r="G557">
        <v>247405.85391454399</v>
      </c>
      <c r="H557">
        <v>1.2347331931180399</v>
      </c>
    </row>
    <row r="558" spans="1:8" x14ac:dyDescent="0.5">
      <c r="A558" s="1">
        <v>43916</v>
      </c>
      <c r="B558">
        <v>0</v>
      </c>
      <c r="C558">
        <v>305480.2200000002</v>
      </c>
      <c r="D558">
        <v>0</v>
      </c>
      <c r="E558">
        <v>305480.2200000002</v>
      </c>
      <c r="F558">
        <v>0</v>
      </c>
      <c r="G558">
        <v>247405.85391454399</v>
      </c>
      <c r="H558">
        <v>1.2347331931180399</v>
      </c>
    </row>
    <row r="559" spans="1:8" x14ac:dyDescent="0.5">
      <c r="A559" s="1">
        <v>43917</v>
      </c>
      <c r="B559">
        <v>0</v>
      </c>
      <c r="C559">
        <v>305480.2200000002</v>
      </c>
      <c r="D559">
        <v>0</v>
      </c>
      <c r="E559">
        <v>305480.2200000002</v>
      </c>
      <c r="F559">
        <v>0</v>
      </c>
      <c r="G559">
        <v>247405.85391454399</v>
      </c>
      <c r="H559">
        <v>1.2347331931180399</v>
      </c>
    </row>
    <row r="560" spans="1:8" x14ac:dyDescent="0.5">
      <c r="A560" s="1">
        <v>43920</v>
      </c>
      <c r="B560">
        <v>0</v>
      </c>
      <c r="C560">
        <v>305480.2200000002</v>
      </c>
      <c r="D560">
        <v>0</v>
      </c>
      <c r="E560">
        <v>305480.2200000002</v>
      </c>
      <c r="F560">
        <v>0</v>
      </c>
      <c r="G560">
        <v>247405.85391454399</v>
      </c>
      <c r="H560">
        <v>1.2347331931180399</v>
      </c>
    </row>
    <row r="561" spans="1:8" x14ac:dyDescent="0.5">
      <c r="A561" s="1">
        <v>43921</v>
      </c>
      <c r="B561">
        <v>0</v>
      </c>
      <c r="C561">
        <v>405480.2200000002</v>
      </c>
      <c r="D561">
        <v>100000</v>
      </c>
      <c r="E561">
        <v>405480.2200000002</v>
      </c>
      <c r="F561">
        <v>80989.156651302605</v>
      </c>
      <c r="G561">
        <v>328395.01056584658</v>
      </c>
      <c r="H561">
        <v>1.2347331931180399</v>
      </c>
    </row>
    <row r="562" spans="1:8" x14ac:dyDescent="0.5">
      <c r="A562" s="1">
        <v>43922</v>
      </c>
      <c r="B562">
        <v>0</v>
      </c>
      <c r="C562">
        <v>405480.2200000002</v>
      </c>
      <c r="D562">
        <v>0</v>
      </c>
      <c r="E562">
        <v>405480.2200000002</v>
      </c>
      <c r="F562">
        <v>0</v>
      </c>
      <c r="G562">
        <v>328395.01056584658</v>
      </c>
      <c r="H562">
        <v>1.2347331931180399</v>
      </c>
    </row>
    <row r="563" spans="1:8" x14ac:dyDescent="0.5">
      <c r="A563" s="1">
        <v>43923</v>
      </c>
      <c r="B563">
        <v>0</v>
      </c>
      <c r="C563">
        <v>405480.2200000002</v>
      </c>
      <c r="D563">
        <v>0</v>
      </c>
      <c r="E563">
        <v>405480.2200000002</v>
      </c>
      <c r="F563">
        <v>0</v>
      </c>
      <c r="G563">
        <v>328395.01056584658</v>
      </c>
      <c r="H563">
        <v>1.2347331931180399</v>
      </c>
    </row>
    <row r="564" spans="1:8" x14ac:dyDescent="0.5">
      <c r="A564" s="1">
        <v>43924</v>
      </c>
      <c r="B564">
        <v>0</v>
      </c>
      <c r="C564">
        <v>405480.2200000002</v>
      </c>
      <c r="D564">
        <v>0</v>
      </c>
      <c r="E564">
        <v>405480.2200000002</v>
      </c>
      <c r="F564">
        <v>0</v>
      </c>
      <c r="G564">
        <v>328395.01056584658</v>
      </c>
      <c r="H564">
        <v>1.2347331931180399</v>
      </c>
    </row>
    <row r="565" spans="1:8" x14ac:dyDescent="0.5">
      <c r="A565" s="1">
        <v>43928</v>
      </c>
      <c r="B565">
        <v>0</v>
      </c>
      <c r="C565">
        <v>405480.2200000002</v>
      </c>
      <c r="D565">
        <v>0</v>
      </c>
      <c r="E565">
        <v>405480.2200000002</v>
      </c>
      <c r="F565">
        <v>0</v>
      </c>
      <c r="G565">
        <v>328395.01056584658</v>
      </c>
      <c r="H565">
        <v>1.2347331931180399</v>
      </c>
    </row>
    <row r="566" spans="1:8" x14ac:dyDescent="0.5">
      <c r="A566" s="1">
        <v>43929</v>
      </c>
      <c r="B566">
        <v>0</v>
      </c>
      <c r="C566">
        <v>405480.2200000002</v>
      </c>
      <c r="D566">
        <v>0</v>
      </c>
      <c r="E566">
        <v>405480.2200000002</v>
      </c>
      <c r="F566">
        <v>0</v>
      </c>
      <c r="G566">
        <v>328395.01056584658</v>
      </c>
      <c r="H566">
        <v>1.2347331931180399</v>
      </c>
    </row>
    <row r="567" spans="1:8" x14ac:dyDescent="0.5">
      <c r="A567" s="1">
        <v>43930</v>
      </c>
      <c r="B567">
        <v>148067</v>
      </c>
      <c r="C567">
        <v>257393.80000000022</v>
      </c>
      <c r="D567">
        <v>0</v>
      </c>
      <c r="E567">
        <v>405460.80000000022</v>
      </c>
      <c r="F567">
        <v>0</v>
      </c>
      <c r="G567">
        <v>328395.01056584658</v>
      </c>
      <c r="H567">
        <v>1.2346740570186012</v>
      </c>
    </row>
    <row r="568" spans="1:8" x14ac:dyDescent="0.5">
      <c r="A568" s="1">
        <v>43931</v>
      </c>
      <c r="B568">
        <v>146462</v>
      </c>
      <c r="C568">
        <v>257393.80000000022</v>
      </c>
      <c r="D568">
        <v>0</v>
      </c>
      <c r="E568">
        <v>403855.80000000022</v>
      </c>
      <c r="F568">
        <v>0</v>
      </c>
      <c r="G568">
        <v>328395.01056584658</v>
      </c>
      <c r="H568">
        <v>1.2297866502421266</v>
      </c>
    </row>
    <row r="569" spans="1:8" x14ac:dyDescent="0.5">
      <c r="A569" s="1">
        <v>43934</v>
      </c>
      <c r="B569">
        <v>145705</v>
      </c>
      <c r="C569">
        <v>257393.80000000022</v>
      </c>
      <c r="D569">
        <v>0</v>
      </c>
      <c r="E569">
        <v>403098.80000000022</v>
      </c>
      <c r="F569">
        <v>0</v>
      </c>
      <c r="G569">
        <v>328395.01056584658</v>
      </c>
      <c r="H569">
        <v>1.227481499507054</v>
      </c>
    </row>
    <row r="570" spans="1:8" x14ac:dyDescent="0.5">
      <c r="A570" s="1">
        <v>43935</v>
      </c>
      <c r="B570">
        <v>230689</v>
      </c>
      <c r="C570">
        <v>175649.2800000002</v>
      </c>
      <c r="D570">
        <v>0</v>
      </c>
      <c r="E570">
        <v>406338.2800000002</v>
      </c>
      <c r="F570">
        <v>0</v>
      </c>
      <c r="G570">
        <v>328395.01056584658</v>
      </c>
      <c r="H570">
        <v>1.2373460829988012</v>
      </c>
    </row>
    <row r="571" spans="1:8" x14ac:dyDescent="0.5">
      <c r="A571" s="1">
        <v>43936</v>
      </c>
      <c r="B571">
        <v>345554.4</v>
      </c>
      <c r="C571">
        <v>258420.1200000002</v>
      </c>
      <c r="D571">
        <v>200000</v>
      </c>
      <c r="E571">
        <v>603974.52000000025</v>
      </c>
      <c r="F571">
        <v>161636.26551052311</v>
      </c>
      <c r="G571">
        <v>490031.27607636969</v>
      </c>
      <c r="H571">
        <v>1.2325223908889296</v>
      </c>
    </row>
    <row r="572" spans="1:8" x14ac:dyDescent="0.5">
      <c r="A572" s="1">
        <v>43937</v>
      </c>
      <c r="B572">
        <v>346017</v>
      </c>
      <c r="C572">
        <v>258420.1200000002</v>
      </c>
      <c r="D572">
        <v>0</v>
      </c>
      <c r="E572">
        <v>604437.12000000023</v>
      </c>
      <c r="F572">
        <v>0</v>
      </c>
      <c r="G572">
        <v>490031.27607636969</v>
      </c>
      <c r="H572">
        <v>1.2334664122658996</v>
      </c>
    </row>
    <row r="573" spans="1:8" x14ac:dyDescent="0.5">
      <c r="A573" s="1">
        <v>43938</v>
      </c>
      <c r="B573">
        <v>624170.69999999995</v>
      </c>
      <c r="C573">
        <v>82691.620000000199</v>
      </c>
      <c r="D573">
        <v>100000</v>
      </c>
      <c r="E573">
        <v>706862.32000000018</v>
      </c>
      <c r="F573">
        <v>81072.333227378462</v>
      </c>
      <c r="G573">
        <v>571103.60930374812</v>
      </c>
      <c r="H573">
        <v>1.2377129271897969</v>
      </c>
    </row>
    <row r="574" spans="1:8" x14ac:dyDescent="0.5">
      <c r="A574" s="1">
        <v>43941</v>
      </c>
      <c r="B574">
        <v>901085.6</v>
      </c>
      <c r="C574">
        <v>8312.5300000002026</v>
      </c>
      <c r="D574">
        <v>200000</v>
      </c>
      <c r="E574">
        <v>909398.13000000012</v>
      </c>
      <c r="F574">
        <v>161588.35833935751</v>
      </c>
      <c r="G574">
        <v>732691.96764310566</v>
      </c>
      <c r="H574">
        <v>1.2411738768275511</v>
      </c>
    </row>
    <row r="575" spans="1:8" x14ac:dyDescent="0.5">
      <c r="A575" s="1">
        <v>43942</v>
      </c>
      <c r="B575">
        <v>894067.8</v>
      </c>
      <c r="C575">
        <v>8312.5300000002026</v>
      </c>
      <c r="D575">
        <v>0</v>
      </c>
      <c r="E575">
        <v>902380.33000000031</v>
      </c>
      <c r="F575">
        <v>0</v>
      </c>
      <c r="G575">
        <v>732691.96764310566</v>
      </c>
      <c r="H575">
        <v>1.2315957726447329</v>
      </c>
    </row>
    <row r="576" spans="1:8" x14ac:dyDescent="0.5">
      <c r="A576" s="1">
        <v>43943</v>
      </c>
      <c r="B576">
        <v>897816.1</v>
      </c>
      <c r="C576">
        <v>208312.5300000002</v>
      </c>
      <c r="D576">
        <v>200000</v>
      </c>
      <c r="E576">
        <v>1106128.6300000001</v>
      </c>
      <c r="F576">
        <v>162390.94388130234</v>
      </c>
      <c r="G576">
        <v>895082.91152440803</v>
      </c>
      <c r="H576">
        <v>1.2357834293989167</v>
      </c>
    </row>
    <row r="577" spans="1:8" x14ac:dyDescent="0.5">
      <c r="A577" s="1">
        <v>43944</v>
      </c>
      <c r="B577">
        <v>899243.50000000012</v>
      </c>
      <c r="C577">
        <v>208312.5300000002</v>
      </c>
      <c r="D577">
        <v>0</v>
      </c>
      <c r="E577">
        <v>1107556.0300000003</v>
      </c>
      <c r="F577">
        <v>0</v>
      </c>
      <c r="G577">
        <v>895082.91152440803</v>
      </c>
      <c r="H577">
        <v>1.2373781420022096</v>
      </c>
    </row>
    <row r="578" spans="1:8" x14ac:dyDescent="0.5">
      <c r="A578" s="1">
        <v>43945</v>
      </c>
      <c r="B578">
        <v>895230.9</v>
      </c>
      <c r="C578">
        <v>208312.5300000002</v>
      </c>
      <c r="D578">
        <v>0</v>
      </c>
      <c r="E578">
        <v>1103543.4300000002</v>
      </c>
      <c r="F578">
        <v>0</v>
      </c>
      <c r="G578">
        <v>895082.91152440803</v>
      </c>
      <c r="H578">
        <v>1.2328952053397655</v>
      </c>
    </row>
    <row r="579" spans="1:8" x14ac:dyDescent="0.5">
      <c r="A579" s="1">
        <v>43948</v>
      </c>
      <c r="B579">
        <v>790539.70000000007</v>
      </c>
      <c r="C579">
        <v>317754.69000000018</v>
      </c>
      <c r="D579">
        <v>0</v>
      </c>
      <c r="E579">
        <v>1108294.3900000001</v>
      </c>
      <c r="F579">
        <v>0</v>
      </c>
      <c r="G579">
        <v>895082.91152440803</v>
      </c>
      <c r="H579">
        <v>1.2382030488242408</v>
      </c>
    </row>
    <row r="580" spans="1:8" x14ac:dyDescent="0.5">
      <c r="A580" s="1">
        <v>43949</v>
      </c>
      <c r="B580">
        <v>755026.50000000012</v>
      </c>
      <c r="C580">
        <v>351225.11000000022</v>
      </c>
      <c r="D580">
        <v>0</v>
      </c>
      <c r="E580">
        <v>1106251.6100000003</v>
      </c>
      <c r="F580">
        <v>0</v>
      </c>
      <c r="G580">
        <v>895082.91152440803</v>
      </c>
      <c r="H580">
        <v>1.2359208244920603</v>
      </c>
    </row>
    <row r="581" spans="1:8" x14ac:dyDescent="0.5">
      <c r="A581" s="1">
        <v>43950</v>
      </c>
      <c r="B581">
        <v>944133.3</v>
      </c>
      <c r="C581">
        <v>163861.92000000022</v>
      </c>
      <c r="D581">
        <v>0</v>
      </c>
      <c r="E581">
        <v>1107995.2200000002</v>
      </c>
      <c r="F581">
        <v>0</v>
      </c>
      <c r="G581">
        <v>895082.91152440803</v>
      </c>
      <c r="H581">
        <v>1.2378688116310734</v>
      </c>
    </row>
    <row r="582" spans="1:8" x14ac:dyDescent="0.5">
      <c r="A582" s="1">
        <v>43951</v>
      </c>
      <c r="B582">
        <v>1070784.8000000003</v>
      </c>
      <c r="C582">
        <v>51407.190000000221</v>
      </c>
      <c r="D582">
        <v>0</v>
      </c>
      <c r="E582">
        <v>1122191.9900000005</v>
      </c>
      <c r="F582">
        <v>0</v>
      </c>
      <c r="G582">
        <v>895082.91152440803</v>
      </c>
      <c r="H582">
        <v>1.2537296551542974</v>
      </c>
    </row>
    <row r="583" spans="1:8" x14ac:dyDescent="0.5">
      <c r="A583" s="1">
        <v>43957</v>
      </c>
      <c r="B583">
        <v>1179246.8</v>
      </c>
      <c r="C583">
        <v>91194.140000000218</v>
      </c>
      <c r="D583">
        <v>150000</v>
      </c>
      <c r="E583">
        <v>1270440.9400000002</v>
      </c>
      <c r="F583">
        <v>119643.01824027557</v>
      </c>
      <c r="G583">
        <v>1014725.9297646836</v>
      </c>
      <c r="H583">
        <v>1.2520040167837412</v>
      </c>
    </row>
    <row r="584" spans="1:8" x14ac:dyDescent="0.5">
      <c r="A584" s="1">
        <v>43958</v>
      </c>
      <c r="B584">
        <v>1173629.7</v>
      </c>
      <c r="C584">
        <v>121194.14000000022</v>
      </c>
      <c r="D584">
        <v>30000</v>
      </c>
      <c r="E584">
        <v>1294823.8400000001</v>
      </c>
      <c r="F584">
        <v>23961.584466052002</v>
      </c>
      <c r="G584">
        <v>1038687.5142307356</v>
      </c>
      <c r="H584">
        <v>1.2465961343137566</v>
      </c>
    </row>
    <row r="585" spans="1:8" x14ac:dyDescent="0.5">
      <c r="A585" s="1">
        <v>43959</v>
      </c>
      <c r="B585">
        <v>1183517</v>
      </c>
      <c r="C585">
        <v>121194.14000000022</v>
      </c>
      <c r="D585">
        <v>0</v>
      </c>
      <c r="E585">
        <v>1304711.1400000001</v>
      </c>
      <c r="F585">
        <v>0</v>
      </c>
      <c r="G585">
        <v>1038687.5142307356</v>
      </c>
      <c r="H585">
        <v>1.256115166616097</v>
      </c>
    </row>
    <row r="586" spans="1:8" x14ac:dyDescent="0.5">
      <c r="A586" s="1">
        <v>43962</v>
      </c>
      <c r="B586">
        <v>1181200.8999999999</v>
      </c>
      <c r="C586">
        <v>121194.14000000022</v>
      </c>
      <c r="D586">
        <v>0</v>
      </c>
      <c r="E586">
        <v>1302395.04</v>
      </c>
      <c r="F586">
        <v>0</v>
      </c>
      <c r="G586">
        <v>1038687.5142307356</v>
      </c>
      <c r="H586">
        <v>1.2538853333233426</v>
      </c>
    </row>
    <row r="587" spans="1:8" x14ac:dyDescent="0.5">
      <c r="A587" s="1">
        <v>43963</v>
      </c>
      <c r="B587">
        <v>1180640.2000000002</v>
      </c>
      <c r="C587">
        <v>121194.14000000022</v>
      </c>
      <c r="D587">
        <v>0</v>
      </c>
      <c r="E587">
        <v>1301834.3400000003</v>
      </c>
      <c r="F587">
        <v>0</v>
      </c>
      <c r="G587">
        <v>1038687.5142307356</v>
      </c>
      <c r="H587">
        <v>1.2533455174573407</v>
      </c>
    </row>
    <row r="588" spans="1:8" x14ac:dyDescent="0.5">
      <c r="A588" s="1">
        <v>43964</v>
      </c>
      <c r="B588">
        <v>1186668.7999999998</v>
      </c>
      <c r="C588">
        <v>121194.14000000022</v>
      </c>
      <c r="D588">
        <v>0</v>
      </c>
      <c r="E588">
        <v>1307862.94</v>
      </c>
      <c r="F588">
        <v>0</v>
      </c>
      <c r="G588">
        <v>1038687.5142307356</v>
      </c>
      <c r="H588">
        <v>1.2591495729768341</v>
      </c>
    </row>
    <row r="589" spans="1:8" x14ac:dyDescent="0.5">
      <c r="A589" s="1">
        <v>43965</v>
      </c>
      <c r="B589">
        <v>1176963.4000000001</v>
      </c>
      <c r="C589">
        <v>121194.14000000022</v>
      </c>
      <c r="D589">
        <v>0</v>
      </c>
      <c r="E589">
        <v>1298157.5400000003</v>
      </c>
      <c r="F589">
        <v>0</v>
      </c>
      <c r="G589">
        <v>1038687.5142307356</v>
      </c>
      <c r="H589">
        <v>1.2498056655291858</v>
      </c>
    </row>
    <row r="590" spans="1:8" x14ac:dyDescent="0.5">
      <c r="A590" s="1">
        <v>43966</v>
      </c>
      <c r="B590">
        <v>1180138.0999999999</v>
      </c>
      <c r="C590">
        <v>121194.14000000022</v>
      </c>
      <c r="D590">
        <v>0</v>
      </c>
      <c r="E590">
        <v>1301332.24</v>
      </c>
      <c r="F590">
        <v>0</v>
      </c>
      <c r="G590">
        <v>1038687.5142307356</v>
      </c>
      <c r="H590">
        <v>1.2528621189441969</v>
      </c>
    </row>
    <row r="591" spans="1:8" x14ac:dyDescent="0.5">
      <c r="A591" s="1">
        <v>43969</v>
      </c>
      <c r="B591">
        <v>1182633.7999999998</v>
      </c>
      <c r="C591">
        <v>121194.14000000022</v>
      </c>
      <c r="D591">
        <v>0</v>
      </c>
      <c r="E591">
        <v>1303827.94</v>
      </c>
      <c r="F591">
        <v>0</v>
      </c>
      <c r="G591">
        <v>1038687.5142307356</v>
      </c>
      <c r="H591">
        <v>1.2552648627586811</v>
      </c>
    </row>
    <row r="592" spans="1:8" x14ac:dyDescent="0.5">
      <c r="A592" s="1">
        <v>43970</v>
      </c>
      <c r="B592">
        <v>1195399.7</v>
      </c>
      <c r="C592">
        <v>1194.1400000002177</v>
      </c>
      <c r="D592">
        <v>-120000</v>
      </c>
      <c r="E592">
        <v>1196593.8400000001</v>
      </c>
      <c r="F592">
        <v>-95597.354439028422</v>
      </c>
      <c r="G592">
        <v>943090.15979170718</v>
      </c>
      <c r="H592">
        <v>1.2688011083312356</v>
      </c>
    </row>
    <row r="593" spans="1:8" x14ac:dyDescent="0.5">
      <c r="A593" s="1">
        <v>43971</v>
      </c>
      <c r="B593">
        <v>1189915.3</v>
      </c>
      <c r="C593">
        <v>1194.1400000002177</v>
      </c>
      <c r="D593">
        <v>0</v>
      </c>
      <c r="E593">
        <v>1191109.4400000002</v>
      </c>
      <c r="F593">
        <v>0</v>
      </c>
      <c r="G593">
        <v>943090.15979170718</v>
      </c>
      <c r="H593">
        <v>1.2629857576534051</v>
      </c>
    </row>
    <row r="594" spans="1:8" x14ac:dyDescent="0.5">
      <c r="A594" s="1">
        <v>43972</v>
      </c>
      <c r="B594">
        <v>1034823.3</v>
      </c>
      <c r="C594">
        <v>148887.21000000022</v>
      </c>
      <c r="D594">
        <v>0</v>
      </c>
      <c r="E594">
        <v>1183710.5100000002</v>
      </c>
      <c r="F594">
        <v>0</v>
      </c>
      <c r="G594">
        <v>943090.15979170718</v>
      </c>
      <c r="H594">
        <v>1.2551403465618143</v>
      </c>
    </row>
    <row r="595" spans="1:8" x14ac:dyDescent="0.5">
      <c r="A595" s="1">
        <v>43973</v>
      </c>
      <c r="B595">
        <v>415480.29999999993</v>
      </c>
      <c r="C595">
        <v>748470.87000000023</v>
      </c>
      <c r="D595">
        <v>0</v>
      </c>
      <c r="E595">
        <v>1163951.1700000002</v>
      </c>
      <c r="F595">
        <v>0</v>
      </c>
      <c r="G595">
        <v>943090.15979170718</v>
      </c>
      <c r="H595">
        <v>1.2341886487894993</v>
      </c>
    </row>
    <row r="596" spans="1:8" x14ac:dyDescent="0.5">
      <c r="A596" s="1">
        <v>43976</v>
      </c>
      <c r="B596">
        <v>416415.80000000005</v>
      </c>
      <c r="C596">
        <v>748470.87000000023</v>
      </c>
      <c r="D596">
        <v>0</v>
      </c>
      <c r="E596">
        <v>1164886.6700000004</v>
      </c>
      <c r="F596">
        <v>0</v>
      </c>
      <c r="G596">
        <v>943090.15979170718</v>
      </c>
      <c r="H596">
        <v>1.2351806006090442</v>
      </c>
    </row>
    <row r="597" spans="1:8" x14ac:dyDescent="0.5">
      <c r="A597" s="1">
        <v>43977</v>
      </c>
      <c r="B597">
        <v>543563.4</v>
      </c>
      <c r="C597">
        <v>630643.7200000002</v>
      </c>
      <c r="D597">
        <v>0</v>
      </c>
      <c r="E597">
        <v>1174207.1200000001</v>
      </c>
      <c r="F597">
        <v>0</v>
      </c>
      <c r="G597">
        <v>943090.15979170718</v>
      </c>
      <c r="H597">
        <v>1.2450634839190113</v>
      </c>
    </row>
    <row r="598" spans="1:8" x14ac:dyDescent="0.5">
      <c r="A598" s="1">
        <v>43978</v>
      </c>
      <c r="B598">
        <v>534782.80000000005</v>
      </c>
      <c r="C598">
        <v>630643.7200000002</v>
      </c>
      <c r="D598">
        <v>0</v>
      </c>
      <c r="E598">
        <v>1165426.5200000003</v>
      </c>
      <c r="F598">
        <v>0</v>
      </c>
      <c r="G598">
        <v>943090.15979170718</v>
      </c>
      <c r="H598">
        <v>1.2357530273217978</v>
      </c>
    </row>
    <row r="599" spans="1:8" x14ac:dyDescent="0.5">
      <c r="A599" s="1">
        <v>43979</v>
      </c>
      <c r="B599">
        <v>533273</v>
      </c>
      <c r="C599">
        <v>630643.7200000002</v>
      </c>
      <c r="D599">
        <v>0</v>
      </c>
      <c r="E599">
        <v>1163916.7200000002</v>
      </c>
      <c r="F599">
        <v>0</v>
      </c>
      <c r="G599">
        <v>943090.15979170718</v>
      </c>
      <c r="H599">
        <v>1.2341521199384216</v>
      </c>
    </row>
    <row r="600" spans="1:8" x14ac:dyDescent="0.5">
      <c r="A600" s="1">
        <v>43980</v>
      </c>
      <c r="B600">
        <v>537014.9</v>
      </c>
      <c r="C600">
        <v>630643.7200000002</v>
      </c>
      <c r="D600">
        <v>0</v>
      </c>
      <c r="E600">
        <v>1167658.6200000001</v>
      </c>
      <c r="F600">
        <v>0</v>
      </c>
      <c r="G600">
        <v>943090.15979170718</v>
      </c>
      <c r="H600">
        <v>1.2381198211821991</v>
      </c>
    </row>
    <row r="601" spans="1:8" x14ac:dyDescent="0.5">
      <c r="A601" s="1">
        <v>43983</v>
      </c>
      <c r="B601">
        <v>846661.29999999993</v>
      </c>
      <c r="C601">
        <v>341000.43000000017</v>
      </c>
      <c r="D601">
        <v>0</v>
      </c>
      <c r="E601">
        <v>1187661.73</v>
      </c>
      <c r="F601">
        <v>0</v>
      </c>
      <c r="G601">
        <v>943090.15979170718</v>
      </c>
      <c r="H601">
        <v>1.25932999901336</v>
      </c>
    </row>
    <row r="602" spans="1:8" x14ac:dyDescent="0.5">
      <c r="A602" s="1">
        <v>43984</v>
      </c>
      <c r="B602">
        <v>842234.09999999986</v>
      </c>
      <c r="C602">
        <v>341000.43000000017</v>
      </c>
      <c r="D602">
        <v>0</v>
      </c>
      <c r="E602">
        <v>1183234.53</v>
      </c>
      <c r="F602">
        <v>0</v>
      </c>
      <c r="G602">
        <v>943090.15979170718</v>
      </c>
      <c r="H602">
        <v>1.2546356440208555</v>
      </c>
    </row>
    <row r="603" spans="1:8" x14ac:dyDescent="0.5">
      <c r="A603" s="1">
        <v>43985</v>
      </c>
      <c r="B603">
        <v>837366.40000000014</v>
      </c>
      <c r="C603">
        <v>341000.43000000017</v>
      </c>
      <c r="D603">
        <v>0</v>
      </c>
      <c r="E603">
        <v>1178366.8300000003</v>
      </c>
      <c r="F603">
        <v>0</v>
      </c>
      <c r="G603">
        <v>943090.15979170718</v>
      </c>
      <c r="H603">
        <v>1.2494742074927987</v>
      </c>
    </row>
    <row r="604" spans="1:8" x14ac:dyDescent="0.5">
      <c r="A604" s="1">
        <v>43986</v>
      </c>
      <c r="B604">
        <v>839167.29999999993</v>
      </c>
      <c r="C604">
        <v>341000.43000000017</v>
      </c>
      <c r="D604">
        <v>0</v>
      </c>
      <c r="E604">
        <v>1180167.73</v>
      </c>
      <c r="F604">
        <v>0</v>
      </c>
      <c r="G604">
        <v>943090.15979170718</v>
      </c>
      <c r="H604">
        <v>1.2513837810169224</v>
      </c>
    </row>
    <row r="605" spans="1:8" x14ac:dyDescent="0.5">
      <c r="A605" s="1">
        <v>43987</v>
      </c>
      <c r="B605">
        <v>845610.4</v>
      </c>
      <c r="C605">
        <v>341000.43000000017</v>
      </c>
      <c r="D605">
        <v>0</v>
      </c>
      <c r="E605">
        <v>1186610.83</v>
      </c>
      <c r="F605">
        <v>0</v>
      </c>
      <c r="G605">
        <v>943090.15979170718</v>
      </c>
      <c r="H605">
        <v>1.2582156834952847</v>
      </c>
    </row>
    <row r="606" spans="1:8" x14ac:dyDescent="0.5">
      <c r="A606" s="1">
        <v>43990</v>
      </c>
      <c r="B606">
        <v>959146.5</v>
      </c>
      <c r="C606">
        <v>218805.09000000017</v>
      </c>
      <c r="D606">
        <v>0</v>
      </c>
      <c r="E606">
        <v>1177951.5900000001</v>
      </c>
      <c r="F606">
        <v>0</v>
      </c>
      <c r="G606">
        <v>943090.15979170718</v>
      </c>
      <c r="H606">
        <v>1.2490339102468897</v>
      </c>
    </row>
    <row r="607" spans="1:8" x14ac:dyDescent="0.5">
      <c r="A607" s="1">
        <v>43991</v>
      </c>
      <c r="B607">
        <v>971725.7</v>
      </c>
      <c r="C607">
        <v>218805.09000000017</v>
      </c>
      <c r="D607">
        <v>0</v>
      </c>
      <c r="E607">
        <v>1190530.79</v>
      </c>
      <c r="F607">
        <v>0</v>
      </c>
      <c r="G607">
        <v>943090.15979170718</v>
      </c>
      <c r="H607">
        <v>1.2623721895931383</v>
      </c>
    </row>
    <row r="608" spans="1:8" x14ac:dyDescent="0.5">
      <c r="A608" s="1">
        <v>43992</v>
      </c>
      <c r="B608">
        <v>1107443.6000000001</v>
      </c>
      <c r="C608">
        <v>95419.850000000166</v>
      </c>
      <c r="D608">
        <v>0</v>
      </c>
      <c r="E608">
        <v>1202863.4500000002</v>
      </c>
      <c r="F608">
        <v>0</v>
      </c>
      <c r="G608">
        <v>943090.15979170718</v>
      </c>
      <c r="H608">
        <v>1.2754490517276387</v>
      </c>
    </row>
    <row r="609" spans="1:8" x14ac:dyDescent="0.5">
      <c r="A609" s="1">
        <v>43993</v>
      </c>
      <c r="B609">
        <v>1395507</v>
      </c>
      <c r="C609">
        <v>112138.23000000016</v>
      </c>
      <c r="D609">
        <v>300000</v>
      </c>
      <c r="E609">
        <v>1507645.2300000002</v>
      </c>
      <c r="F609">
        <v>235211.27683903946</v>
      </c>
      <c r="G609">
        <v>1178301.4366307466</v>
      </c>
      <c r="H609">
        <v>1.2795072492748412</v>
      </c>
    </row>
    <row r="610" spans="1:8" x14ac:dyDescent="0.5">
      <c r="A610" s="1">
        <v>43994</v>
      </c>
      <c r="B610">
        <v>1409502.8</v>
      </c>
      <c r="C610">
        <v>112138.23000000016</v>
      </c>
      <c r="D610">
        <v>0</v>
      </c>
      <c r="E610">
        <v>1521641.0300000003</v>
      </c>
      <c r="F610">
        <v>0</v>
      </c>
      <c r="G610">
        <v>1178301.4366307466</v>
      </c>
      <c r="H610">
        <v>1.2913851945653263</v>
      </c>
    </row>
    <row r="611" spans="1:8" x14ac:dyDescent="0.5">
      <c r="A611" s="1">
        <v>43997</v>
      </c>
      <c r="B611">
        <v>1512036.5999999999</v>
      </c>
      <c r="C611">
        <v>4361.2900000001537</v>
      </c>
      <c r="D611">
        <v>0</v>
      </c>
      <c r="E611">
        <v>1516397.8900000001</v>
      </c>
      <c r="F611">
        <v>0</v>
      </c>
      <c r="G611">
        <v>1178301.4366307466</v>
      </c>
      <c r="H611">
        <v>1.2869354503513224</v>
      </c>
    </row>
    <row r="612" spans="1:8" x14ac:dyDescent="0.5">
      <c r="A612" s="1">
        <v>43998</v>
      </c>
      <c r="B612">
        <v>1542233</v>
      </c>
      <c r="C612">
        <v>4361.2900000001537</v>
      </c>
      <c r="D612">
        <v>0</v>
      </c>
      <c r="E612">
        <v>1546594.29</v>
      </c>
      <c r="F612">
        <v>0</v>
      </c>
      <c r="G612">
        <v>1178301.4366307466</v>
      </c>
      <c r="H612">
        <v>1.312562508981026</v>
      </c>
    </row>
    <row r="613" spans="1:8" x14ac:dyDescent="0.5">
      <c r="A613" s="1">
        <v>43999</v>
      </c>
      <c r="B613">
        <v>1538913</v>
      </c>
      <c r="C613">
        <v>4361.2900000001537</v>
      </c>
      <c r="D613">
        <v>0</v>
      </c>
      <c r="E613">
        <v>1543274.29</v>
      </c>
      <c r="F613">
        <v>0</v>
      </c>
      <c r="G613">
        <v>1178301.4366307466</v>
      </c>
      <c r="H613">
        <v>1.3097448938133034</v>
      </c>
    </row>
    <row r="614" spans="1:8" x14ac:dyDescent="0.5">
      <c r="A614" s="1">
        <v>44000</v>
      </c>
      <c r="B614">
        <v>1548873.0000000002</v>
      </c>
      <c r="C614">
        <v>4361.2900000001537</v>
      </c>
      <c r="D614">
        <v>0</v>
      </c>
      <c r="E614">
        <v>1553234.2900000005</v>
      </c>
      <c r="F614">
        <v>0</v>
      </c>
      <c r="G614">
        <v>1178301.4366307466</v>
      </c>
      <c r="H614">
        <v>1.3181977393164712</v>
      </c>
    </row>
    <row r="615" spans="1:8" x14ac:dyDescent="0.5">
      <c r="A615" s="1">
        <v>44001</v>
      </c>
      <c r="B615">
        <v>1587753.5999999999</v>
      </c>
      <c r="C615">
        <v>4538.5200000001532</v>
      </c>
      <c r="D615">
        <v>177.23</v>
      </c>
      <c r="E615">
        <v>1592292.12</v>
      </c>
      <c r="F615">
        <v>134.44872094220065</v>
      </c>
      <c r="G615">
        <v>1178435.8853516888</v>
      </c>
      <c r="H615">
        <v>1.3511911337669433</v>
      </c>
    </row>
    <row r="616" spans="1:8" x14ac:dyDescent="0.5">
      <c r="A616" s="1">
        <v>44004</v>
      </c>
      <c r="B616">
        <v>1608894.0000000002</v>
      </c>
      <c r="C616">
        <v>4538.5200000001532</v>
      </c>
      <c r="D616">
        <v>0</v>
      </c>
      <c r="E616">
        <v>1613432.5200000005</v>
      </c>
      <c r="F616">
        <v>0</v>
      </c>
      <c r="G616">
        <v>1178435.8853516888</v>
      </c>
      <c r="H616">
        <v>1.3691305059999022</v>
      </c>
    </row>
    <row r="617" spans="1:8" x14ac:dyDescent="0.5">
      <c r="A617" s="1">
        <v>44005</v>
      </c>
      <c r="B617">
        <v>1639090.4000000001</v>
      </c>
      <c r="C617">
        <v>4538.5200000001532</v>
      </c>
      <c r="D617">
        <v>0</v>
      </c>
      <c r="E617">
        <v>1643628.9200000004</v>
      </c>
      <c r="F617">
        <v>0</v>
      </c>
      <c r="G617">
        <v>1178435.8853516888</v>
      </c>
      <c r="H617">
        <v>1.3947546408173752</v>
      </c>
    </row>
    <row r="618" spans="1:8" x14ac:dyDescent="0.5">
      <c r="A618" s="1">
        <v>44006</v>
      </c>
      <c r="B618">
        <v>1177540.5999999999</v>
      </c>
      <c r="C618">
        <v>461924.14000000013</v>
      </c>
      <c r="D618">
        <v>0</v>
      </c>
      <c r="E618">
        <v>1639464.74</v>
      </c>
      <c r="F618">
        <v>0</v>
      </c>
      <c r="G618">
        <v>1178435.8853516888</v>
      </c>
      <c r="H618">
        <v>1.3912209907887547</v>
      </c>
    </row>
    <row r="619" spans="1:8" x14ac:dyDescent="0.5">
      <c r="A619" s="1">
        <v>44011</v>
      </c>
      <c r="B619">
        <v>1285457.2</v>
      </c>
      <c r="C619">
        <v>393074.43000000011</v>
      </c>
      <c r="D619">
        <v>50000</v>
      </c>
      <c r="E619">
        <v>1678531.6300000001</v>
      </c>
      <c r="F619">
        <v>35939.653247793816</v>
      </c>
      <c r="G619">
        <v>1214375.5385994827</v>
      </c>
      <c r="H619">
        <v>1.3822179191255946</v>
      </c>
    </row>
    <row r="620" spans="1:8" x14ac:dyDescent="0.5">
      <c r="A620" s="1">
        <v>44012</v>
      </c>
      <c r="B620">
        <v>1724184.1999999997</v>
      </c>
      <c r="C620">
        <v>91.910000000090804</v>
      </c>
      <c r="D620">
        <v>0</v>
      </c>
      <c r="E620">
        <v>1724276.1099999999</v>
      </c>
      <c r="F620">
        <v>0</v>
      </c>
      <c r="G620">
        <v>1214375.5385994827</v>
      </c>
      <c r="H620">
        <v>1.4198870573336615</v>
      </c>
    </row>
    <row r="621" spans="1:8" x14ac:dyDescent="0.5">
      <c r="A621" s="1">
        <v>44013</v>
      </c>
      <c r="B621">
        <v>1616647.2000000002</v>
      </c>
      <c r="C621">
        <v>89000.680000000095</v>
      </c>
      <c r="D621">
        <v>0</v>
      </c>
      <c r="E621">
        <v>1705647.8800000004</v>
      </c>
      <c r="F621">
        <v>0</v>
      </c>
      <c r="G621">
        <v>1214375.5385994827</v>
      </c>
      <c r="H621">
        <v>1.4045472967671047</v>
      </c>
    </row>
    <row r="622" spans="1:8" x14ac:dyDescent="0.5">
      <c r="A622" s="1">
        <v>44014</v>
      </c>
      <c r="B622">
        <v>1627054.7999999998</v>
      </c>
      <c r="C622">
        <v>89000.680000000095</v>
      </c>
      <c r="D622">
        <v>0</v>
      </c>
      <c r="E622">
        <v>1716055.48</v>
      </c>
      <c r="F622">
        <v>0</v>
      </c>
      <c r="G622">
        <v>1214375.5385994827</v>
      </c>
      <c r="H622">
        <v>1.4131176275002175</v>
      </c>
    </row>
    <row r="623" spans="1:8" x14ac:dyDescent="0.5">
      <c r="A623" s="1">
        <v>44015</v>
      </c>
      <c r="B623">
        <v>1740636.8</v>
      </c>
      <c r="C623">
        <v>56.050000000090222</v>
      </c>
      <c r="D623">
        <v>0</v>
      </c>
      <c r="E623">
        <v>1740692.85</v>
      </c>
      <c r="F623">
        <v>0</v>
      </c>
      <c r="G623">
        <v>1214375.5385994827</v>
      </c>
      <c r="H623">
        <v>1.4334057255529946</v>
      </c>
    </row>
    <row r="624" spans="1:8" x14ac:dyDescent="0.5">
      <c r="A624" s="1">
        <v>44018</v>
      </c>
      <c r="B624">
        <v>1797317.2</v>
      </c>
      <c r="C624">
        <v>56.050000000090222</v>
      </c>
      <c r="D624">
        <v>0</v>
      </c>
      <c r="E624">
        <v>1797373.25</v>
      </c>
      <c r="F624">
        <v>0</v>
      </c>
      <c r="G624">
        <v>1214375.5385994827</v>
      </c>
      <c r="H624">
        <v>1.4800802493706995</v>
      </c>
    </row>
    <row r="625" spans="1:8" x14ac:dyDescent="0.5">
      <c r="A625" s="1">
        <v>44019</v>
      </c>
      <c r="B625">
        <v>1839120</v>
      </c>
      <c r="C625">
        <v>386.65000000008877</v>
      </c>
      <c r="D625">
        <v>0</v>
      </c>
      <c r="E625">
        <v>1839506.6500000001</v>
      </c>
      <c r="F625">
        <v>0</v>
      </c>
      <c r="G625">
        <v>1214375.5385994827</v>
      </c>
      <c r="H625">
        <v>1.5147757769573238</v>
      </c>
    </row>
    <row r="626" spans="1:8" x14ac:dyDescent="0.5">
      <c r="A626" s="1">
        <v>44020</v>
      </c>
      <c r="B626">
        <v>1911670</v>
      </c>
      <c r="C626">
        <v>386.65000000008877</v>
      </c>
      <c r="D626">
        <v>0</v>
      </c>
      <c r="E626">
        <v>1912056.6500000001</v>
      </c>
      <c r="F626">
        <v>0</v>
      </c>
      <c r="G626">
        <v>1214375.5385994827</v>
      </c>
      <c r="H626">
        <v>1.5745184164407169</v>
      </c>
    </row>
    <row r="627" spans="1:8" x14ac:dyDescent="0.5">
      <c r="A627" s="1">
        <v>44021</v>
      </c>
      <c r="B627">
        <v>1999662.8</v>
      </c>
      <c r="C627">
        <v>521.490000000078</v>
      </c>
      <c r="D627">
        <v>40000</v>
      </c>
      <c r="E627">
        <v>2000184.29</v>
      </c>
      <c r="F627">
        <v>25404.593291720361</v>
      </c>
      <c r="G627">
        <v>1239780.1318912031</v>
      </c>
      <c r="H627">
        <v>1.6133379125449046</v>
      </c>
    </row>
    <row r="628" spans="1:8" x14ac:dyDescent="0.5">
      <c r="A628" s="1">
        <v>44022</v>
      </c>
      <c r="B628">
        <v>2011478.8</v>
      </c>
      <c r="C628">
        <v>192.84000000008382</v>
      </c>
      <c r="D628">
        <v>0</v>
      </c>
      <c r="E628">
        <v>2011671.6400000001</v>
      </c>
      <c r="F628">
        <v>0</v>
      </c>
      <c r="G628">
        <v>1239780.1318912031</v>
      </c>
      <c r="H628">
        <v>1.6226035473978175</v>
      </c>
    </row>
    <row r="629" spans="1:8" x14ac:dyDescent="0.5">
      <c r="A629" s="1">
        <v>44025</v>
      </c>
      <c r="B629">
        <v>2107090.5</v>
      </c>
      <c r="C629">
        <v>192.84000000008382</v>
      </c>
      <c r="D629">
        <v>0</v>
      </c>
      <c r="E629">
        <v>2107283.34</v>
      </c>
      <c r="F629">
        <v>0</v>
      </c>
      <c r="G629">
        <v>1239780.1318912031</v>
      </c>
      <c r="H629">
        <v>1.6997234314325376</v>
      </c>
    </row>
    <row r="630" spans="1:8" x14ac:dyDescent="0.5">
      <c r="A630" s="1">
        <v>44026</v>
      </c>
      <c r="B630">
        <v>2076679.8000000003</v>
      </c>
      <c r="C630">
        <v>192.84000000008382</v>
      </c>
      <c r="D630">
        <v>0</v>
      </c>
      <c r="E630">
        <v>2076872.6400000004</v>
      </c>
      <c r="F630">
        <v>0</v>
      </c>
      <c r="G630">
        <v>1239780.1318912031</v>
      </c>
      <c r="H630">
        <v>1.6751943240386242</v>
      </c>
    </row>
    <row r="631" spans="1:8" x14ac:dyDescent="0.5">
      <c r="A631" s="1">
        <v>44027</v>
      </c>
      <c r="B631">
        <v>1983823.3</v>
      </c>
      <c r="C631">
        <v>50083.400000000081</v>
      </c>
      <c r="D631">
        <v>0</v>
      </c>
      <c r="E631">
        <v>2033906.7000000002</v>
      </c>
      <c r="F631">
        <v>0</v>
      </c>
      <c r="G631">
        <v>1239780.1318912031</v>
      </c>
      <c r="H631">
        <v>1.6405382274495794</v>
      </c>
    </row>
    <row r="632" spans="1:8" x14ac:dyDescent="0.5">
      <c r="A632" s="1">
        <v>44028</v>
      </c>
      <c r="B632">
        <v>0</v>
      </c>
      <c r="C632">
        <v>1948229.6900000002</v>
      </c>
      <c r="D632">
        <v>0</v>
      </c>
      <c r="E632">
        <v>1948229.6900000002</v>
      </c>
      <c r="F632">
        <v>0</v>
      </c>
      <c r="G632">
        <v>1239780.1318912031</v>
      </c>
      <c r="H632">
        <v>1.5714316110455036</v>
      </c>
    </row>
    <row r="633" spans="1:8" x14ac:dyDescent="0.5">
      <c r="A633" s="1">
        <v>44029</v>
      </c>
      <c r="B633">
        <v>0</v>
      </c>
      <c r="C633">
        <v>1948229.6900000002</v>
      </c>
      <c r="D633">
        <v>0</v>
      </c>
      <c r="E633">
        <v>1948229.6900000002</v>
      </c>
      <c r="F633">
        <v>0</v>
      </c>
      <c r="G633">
        <v>1239780.1318912031</v>
      </c>
      <c r="H633">
        <v>1.5714316110455036</v>
      </c>
    </row>
    <row r="634" spans="1:8" x14ac:dyDescent="0.5">
      <c r="A634" s="1">
        <v>44032</v>
      </c>
      <c r="B634">
        <v>0</v>
      </c>
      <c r="C634">
        <v>48229.690000000177</v>
      </c>
      <c r="D634">
        <v>-1900000</v>
      </c>
      <c r="E634">
        <v>48229.690000000177</v>
      </c>
      <c r="F634">
        <v>-1209088.5703488511</v>
      </c>
      <c r="G634">
        <v>30691.561542351963</v>
      </c>
      <c r="H634">
        <v>1.5714316110454973</v>
      </c>
    </row>
    <row r="635" spans="1:8" x14ac:dyDescent="0.5">
      <c r="A635" s="1">
        <v>44033</v>
      </c>
      <c r="B635">
        <v>0</v>
      </c>
      <c r="C635">
        <v>48229.690000000177</v>
      </c>
      <c r="D635">
        <v>0</v>
      </c>
      <c r="E635">
        <v>48229.690000000177</v>
      </c>
      <c r="F635">
        <v>0</v>
      </c>
      <c r="G635">
        <v>30691.561542351963</v>
      </c>
      <c r="H635">
        <v>1.5714316110454973</v>
      </c>
    </row>
    <row r="636" spans="1:8" x14ac:dyDescent="0.5">
      <c r="A636" s="1">
        <v>44034</v>
      </c>
      <c r="B636">
        <v>0</v>
      </c>
      <c r="C636">
        <v>48229.690000000177</v>
      </c>
      <c r="D636">
        <v>0</v>
      </c>
      <c r="E636">
        <v>48229.690000000177</v>
      </c>
      <c r="F636">
        <v>0</v>
      </c>
      <c r="G636">
        <v>30691.561542351963</v>
      </c>
      <c r="H636">
        <v>1.5714316110454973</v>
      </c>
    </row>
    <row r="637" spans="1:8" x14ac:dyDescent="0.5">
      <c r="A637" s="1">
        <v>44035</v>
      </c>
      <c r="B637">
        <v>0</v>
      </c>
      <c r="C637">
        <v>48229.690000000177</v>
      </c>
      <c r="D637">
        <v>0</v>
      </c>
      <c r="E637">
        <v>48229.690000000177</v>
      </c>
      <c r="F637">
        <v>0</v>
      </c>
      <c r="G637">
        <v>30691.561542351963</v>
      </c>
      <c r="H637">
        <v>1.5714316110454973</v>
      </c>
    </row>
    <row r="638" spans="1:8" x14ac:dyDescent="0.5">
      <c r="A638" s="1">
        <v>44036</v>
      </c>
      <c r="B638">
        <v>0</v>
      </c>
      <c r="C638">
        <v>48229.690000000177</v>
      </c>
      <c r="D638">
        <v>0</v>
      </c>
      <c r="E638">
        <v>48229.690000000177</v>
      </c>
      <c r="F638">
        <v>0</v>
      </c>
      <c r="G638">
        <v>30691.561542351963</v>
      </c>
      <c r="H638">
        <v>1.5714316110454973</v>
      </c>
    </row>
    <row r="639" spans="1:8" x14ac:dyDescent="0.5">
      <c r="A639" s="1">
        <v>44039</v>
      </c>
      <c r="B639">
        <v>0</v>
      </c>
      <c r="C639">
        <v>48229.690000000177</v>
      </c>
      <c r="D639">
        <v>0</v>
      </c>
      <c r="E639">
        <v>48229.690000000177</v>
      </c>
      <c r="F639">
        <v>0</v>
      </c>
      <c r="G639">
        <v>30691.561542351963</v>
      </c>
      <c r="H639">
        <v>1.5714316110454973</v>
      </c>
    </row>
    <row r="640" spans="1:8" x14ac:dyDescent="0.5">
      <c r="A640" s="1">
        <v>44040</v>
      </c>
      <c r="B640">
        <v>0</v>
      </c>
      <c r="C640">
        <v>48229.690000000177</v>
      </c>
      <c r="D640">
        <v>0</v>
      </c>
      <c r="E640">
        <v>48229.690000000177</v>
      </c>
      <c r="F640">
        <v>0</v>
      </c>
      <c r="G640">
        <v>30691.561542351963</v>
      </c>
      <c r="H640">
        <v>1.5714316110454973</v>
      </c>
    </row>
    <row r="641" spans="1:8" x14ac:dyDescent="0.5">
      <c r="A641" s="1">
        <v>44041</v>
      </c>
      <c r="B641">
        <v>0</v>
      </c>
      <c r="C641">
        <v>48229.690000000177</v>
      </c>
      <c r="D641">
        <v>0</v>
      </c>
      <c r="E641">
        <v>48229.690000000177</v>
      </c>
      <c r="F641">
        <v>0</v>
      </c>
      <c r="G641">
        <v>30691.561542351963</v>
      </c>
      <c r="H641">
        <v>1.5714316110454973</v>
      </c>
    </row>
    <row r="642" spans="1:8" x14ac:dyDescent="0.5">
      <c r="A642" s="1">
        <v>44042</v>
      </c>
      <c r="B642">
        <v>0</v>
      </c>
      <c r="C642">
        <v>48229.690000000177</v>
      </c>
      <c r="D642">
        <v>0</v>
      </c>
      <c r="E642">
        <v>48229.690000000177</v>
      </c>
      <c r="F642">
        <v>0</v>
      </c>
      <c r="G642">
        <v>30691.561542351963</v>
      </c>
      <c r="H642">
        <v>1.5714316110454973</v>
      </c>
    </row>
    <row r="643" spans="1:8" x14ac:dyDescent="0.5">
      <c r="A643" s="1">
        <v>44043</v>
      </c>
      <c r="B643">
        <v>0</v>
      </c>
      <c r="C643">
        <v>48229.690000000177</v>
      </c>
      <c r="D643">
        <v>0</v>
      </c>
      <c r="E643">
        <v>48229.690000000177</v>
      </c>
      <c r="F643">
        <v>0</v>
      </c>
      <c r="G643">
        <v>30691.561542351963</v>
      </c>
      <c r="H643">
        <v>1.5714316110454973</v>
      </c>
    </row>
    <row r="644" spans="1:8" x14ac:dyDescent="0.5">
      <c r="A644" s="1">
        <v>44046</v>
      </c>
      <c r="B644">
        <v>48874.999999999993</v>
      </c>
      <c r="C644">
        <v>-317.43999999982043</v>
      </c>
      <c r="D644">
        <v>0</v>
      </c>
      <c r="E644">
        <v>48557.560000000172</v>
      </c>
      <c r="F644">
        <v>0</v>
      </c>
      <c r="G644">
        <v>30691.561542351963</v>
      </c>
      <c r="H644">
        <v>1.582114351952882</v>
      </c>
    </row>
    <row r="645" spans="1:8" x14ac:dyDescent="0.5">
      <c r="A645" s="1">
        <v>44047</v>
      </c>
      <c r="B645">
        <v>48237.5</v>
      </c>
      <c r="C645">
        <v>-317.43999999982043</v>
      </c>
      <c r="D645">
        <v>0</v>
      </c>
      <c r="E645">
        <v>47920.06000000018</v>
      </c>
      <c r="F645">
        <v>0</v>
      </c>
      <c r="G645">
        <v>30691.561542351963</v>
      </c>
      <c r="H645">
        <v>1.5613431703002218</v>
      </c>
    </row>
    <row r="646" spans="1:8" x14ac:dyDescent="0.5">
      <c r="A646" s="1">
        <v>44048</v>
      </c>
      <c r="B646">
        <v>48662.5</v>
      </c>
      <c r="C646">
        <v>-317.43999999982043</v>
      </c>
      <c r="D646">
        <v>0</v>
      </c>
      <c r="E646">
        <v>48345.06000000018</v>
      </c>
      <c r="F646">
        <v>0</v>
      </c>
      <c r="G646">
        <v>30691.561542351963</v>
      </c>
      <c r="H646">
        <v>1.5751906247353287</v>
      </c>
    </row>
    <row r="647" spans="1:8" x14ac:dyDescent="0.5">
      <c r="A647" s="1">
        <v>44049</v>
      </c>
      <c r="B647">
        <v>47685.000000000007</v>
      </c>
      <c r="C647">
        <v>-317.43999999982043</v>
      </c>
      <c r="D647">
        <v>0</v>
      </c>
      <c r="E647">
        <v>47367.560000000187</v>
      </c>
      <c r="F647">
        <v>0</v>
      </c>
      <c r="G647">
        <v>30691.561542351963</v>
      </c>
      <c r="H647">
        <v>1.543341479534583</v>
      </c>
    </row>
    <row r="648" spans="1:8" x14ac:dyDescent="0.5">
      <c r="A648" s="1">
        <v>44050</v>
      </c>
      <c r="B648">
        <v>21919.999999999996</v>
      </c>
      <c r="C648">
        <v>24291.410000000178</v>
      </c>
      <c r="D648">
        <v>0</v>
      </c>
      <c r="E648">
        <v>46211.410000000178</v>
      </c>
      <c r="F648">
        <v>0</v>
      </c>
      <c r="G648">
        <v>30691.561542351963</v>
      </c>
      <c r="H648">
        <v>1.5056715161342322</v>
      </c>
    </row>
    <row r="649" spans="1:8" x14ac:dyDescent="0.5">
      <c r="A649" s="1">
        <v>44053</v>
      </c>
      <c r="B649">
        <v>21700</v>
      </c>
      <c r="C649">
        <v>24291.410000000178</v>
      </c>
      <c r="D649">
        <v>0</v>
      </c>
      <c r="E649">
        <v>45991.410000000178</v>
      </c>
      <c r="F649">
        <v>0</v>
      </c>
      <c r="G649">
        <v>30691.561542351963</v>
      </c>
      <c r="H649">
        <v>1.4985034220737063</v>
      </c>
    </row>
    <row r="650" spans="1:8" x14ac:dyDescent="0.5">
      <c r="A650" s="1">
        <v>44054</v>
      </c>
      <c r="B650">
        <v>21300</v>
      </c>
      <c r="C650">
        <v>184291.41000000018</v>
      </c>
      <c r="D650">
        <v>160000</v>
      </c>
      <c r="E650">
        <v>205591.41000000018</v>
      </c>
      <c r="F650">
        <v>106773.19627244076</v>
      </c>
      <c r="G650">
        <v>137464.75781479274</v>
      </c>
      <c r="H650">
        <v>1.4955935853536728</v>
      </c>
    </row>
    <row r="651" spans="1:8" x14ac:dyDescent="0.5">
      <c r="A651" s="1">
        <v>44055</v>
      </c>
      <c r="B651">
        <v>0</v>
      </c>
      <c r="C651">
        <v>204946.24000000017</v>
      </c>
      <c r="D651">
        <v>0</v>
      </c>
      <c r="E651">
        <v>204946.24000000017</v>
      </c>
      <c r="F651">
        <v>0</v>
      </c>
      <c r="G651">
        <v>137464.75781479274</v>
      </c>
      <c r="H651">
        <v>1.4909002369620126</v>
      </c>
    </row>
    <row r="652" spans="1:8" x14ac:dyDescent="0.5">
      <c r="A652" s="1">
        <v>44056</v>
      </c>
      <c r="B652">
        <v>0</v>
      </c>
      <c r="C652">
        <v>204946.24000000017</v>
      </c>
      <c r="D652">
        <v>0</v>
      </c>
      <c r="E652">
        <v>204946.24000000017</v>
      </c>
      <c r="F652">
        <v>0</v>
      </c>
      <c r="G652">
        <v>137464.75781479274</v>
      </c>
      <c r="H652">
        <v>1.4909002369620126</v>
      </c>
    </row>
    <row r="653" spans="1:8" x14ac:dyDescent="0.5">
      <c r="A653" s="1">
        <v>44057</v>
      </c>
      <c r="B653">
        <v>0</v>
      </c>
      <c r="C653">
        <v>204946.24000000017</v>
      </c>
      <c r="D653">
        <v>0</v>
      </c>
      <c r="E653">
        <v>204946.24000000017</v>
      </c>
      <c r="F653">
        <v>0</v>
      </c>
      <c r="G653">
        <v>137464.75781479274</v>
      </c>
      <c r="H653">
        <v>1.4909002369620126</v>
      </c>
    </row>
    <row r="654" spans="1:8" x14ac:dyDescent="0.5">
      <c r="A654" s="1">
        <v>44060</v>
      </c>
      <c r="B654">
        <v>0</v>
      </c>
      <c r="C654">
        <v>204946.24000000017</v>
      </c>
      <c r="D654">
        <v>0</v>
      </c>
      <c r="E654">
        <v>204946.24000000017</v>
      </c>
      <c r="F654">
        <v>0</v>
      </c>
      <c r="G654">
        <v>137464.75781479274</v>
      </c>
      <c r="H654">
        <v>1.4909002369620126</v>
      </c>
    </row>
    <row r="655" spans="1:8" x14ac:dyDescent="0.5">
      <c r="A655" s="1">
        <v>44061</v>
      </c>
      <c r="B655">
        <v>0</v>
      </c>
      <c r="C655">
        <v>204946.24000000017</v>
      </c>
      <c r="D655">
        <v>0</v>
      </c>
      <c r="E655">
        <v>204946.24000000017</v>
      </c>
      <c r="F655">
        <v>0</v>
      </c>
      <c r="G655">
        <v>137464.75781479274</v>
      </c>
      <c r="H655">
        <v>1.4909002369620126</v>
      </c>
    </row>
    <row r="656" spans="1:8" x14ac:dyDescent="0.5">
      <c r="A656" s="1">
        <v>44062</v>
      </c>
      <c r="B656">
        <v>0</v>
      </c>
      <c r="C656">
        <v>204946.24000000017</v>
      </c>
      <c r="D656">
        <v>0</v>
      </c>
      <c r="E656">
        <v>204946.24000000017</v>
      </c>
      <c r="F656">
        <v>0</v>
      </c>
      <c r="G656">
        <v>137464.75781479274</v>
      </c>
      <c r="H656">
        <v>1.4909002369620126</v>
      </c>
    </row>
    <row r="657" spans="1:8" x14ac:dyDescent="0.5">
      <c r="A657" s="1">
        <v>44063</v>
      </c>
      <c r="B657">
        <v>0</v>
      </c>
      <c r="C657">
        <v>204946.24000000017</v>
      </c>
      <c r="D657">
        <v>0</v>
      </c>
      <c r="E657">
        <v>204946.24000000017</v>
      </c>
      <c r="F657">
        <v>0</v>
      </c>
      <c r="G657">
        <v>137464.75781479274</v>
      </c>
      <c r="H657">
        <v>1.4909002369620126</v>
      </c>
    </row>
    <row r="658" spans="1:8" x14ac:dyDescent="0.5">
      <c r="A658" s="1">
        <v>44064</v>
      </c>
      <c r="B658">
        <v>0</v>
      </c>
      <c r="C658">
        <v>204946.24000000017</v>
      </c>
      <c r="D658">
        <v>0</v>
      </c>
      <c r="E658">
        <v>204946.24000000017</v>
      </c>
      <c r="F658">
        <v>0</v>
      </c>
      <c r="G658">
        <v>137464.75781479274</v>
      </c>
      <c r="H658">
        <v>1.4909002369620126</v>
      </c>
    </row>
    <row r="659" spans="1:8" x14ac:dyDescent="0.5">
      <c r="A659" s="1">
        <v>44067</v>
      </c>
      <c r="B659">
        <v>0</v>
      </c>
      <c r="C659">
        <v>204946.24000000017</v>
      </c>
      <c r="D659">
        <v>0</v>
      </c>
      <c r="E659">
        <v>204946.24000000017</v>
      </c>
      <c r="F659">
        <v>0</v>
      </c>
      <c r="G659">
        <v>137464.75781479274</v>
      </c>
      <c r="H659">
        <v>1.4909002369620126</v>
      </c>
    </row>
    <row r="660" spans="1:8" x14ac:dyDescent="0.5">
      <c r="A660" s="1">
        <v>44068</v>
      </c>
      <c r="B660">
        <v>0</v>
      </c>
      <c r="C660">
        <v>204946.24000000017</v>
      </c>
      <c r="D660">
        <v>0</v>
      </c>
      <c r="E660">
        <v>204946.24000000017</v>
      </c>
      <c r="F660">
        <v>0</v>
      </c>
      <c r="G660">
        <v>137464.75781479274</v>
      </c>
      <c r="H660">
        <v>1.4909002369620126</v>
      </c>
    </row>
    <row r="661" spans="1:8" x14ac:dyDescent="0.5">
      <c r="A661" s="1">
        <v>44069</v>
      </c>
      <c r="B661">
        <v>0</v>
      </c>
      <c r="C661">
        <v>204946.24000000017</v>
      </c>
      <c r="D661">
        <v>0</v>
      </c>
      <c r="E661">
        <v>204946.24000000017</v>
      </c>
      <c r="F661">
        <v>0</v>
      </c>
      <c r="G661">
        <v>137464.75781479274</v>
      </c>
      <c r="H661">
        <v>1.4909002369620126</v>
      </c>
    </row>
    <row r="662" spans="1:8" x14ac:dyDescent="0.5">
      <c r="A662" s="1">
        <v>44070</v>
      </c>
      <c r="B662">
        <v>0</v>
      </c>
      <c r="C662">
        <v>204946.24000000017</v>
      </c>
      <c r="D662">
        <v>0</v>
      </c>
      <c r="E662">
        <v>204946.24000000017</v>
      </c>
      <c r="F662">
        <v>0</v>
      </c>
      <c r="G662">
        <v>137464.75781479274</v>
      </c>
      <c r="H662">
        <v>1.4909002369620126</v>
      </c>
    </row>
    <row r="663" spans="1:8" x14ac:dyDescent="0.5">
      <c r="A663" s="1">
        <v>44071</v>
      </c>
      <c r="B663">
        <v>0</v>
      </c>
      <c r="C663">
        <v>204946.24000000017</v>
      </c>
      <c r="D663">
        <v>0</v>
      </c>
      <c r="E663">
        <v>204946.24000000017</v>
      </c>
      <c r="F663">
        <v>0</v>
      </c>
      <c r="G663">
        <v>137464.75781479274</v>
      </c>
      <c r="H663">
        <v>1.4909002369620126</v>
      </c>
    </row>
    <row r="664" spans="1:8" x14ac:dyDescent="0.5">
      <c r="A664" s="1">
        <v>44074</v>
      </c>
      <c r="B664">
        <v>86400</v>
      </c>
      <c r="C664">
        <v>116924.24000000017</v>
      </c>
      <c r="D664">
        <v>0</v>
      </c>
      <c r="E664">
        <v>203324.24000000017</v>
      </c>
      <c r="F664">
        <v>0</v>
      </c>
      <c r="G664">
        <v>137464.75781479274</v>
      </c>
      <c r="H664">
        <v>1.4791008490622766</v>
      </c>
    </row>
    <row r="665" spans="1:8" x14ac:dyDescent="0.5">
      <c r="A665" s="1">
        <v>44075</v>
      </c>
      <c r="B665">
        <v>87040</v>
      </c>
      <c r="C665">
        <v>116924.24000000017</v>
      </c>
      <c r="D665">
        <v>0</v>
      </c>
      <c r="E665">
        <v>203964.24000000017</v>
      </c>
      <c r="F665">
        <v>0</v>
      </c>
      <c r="G665">
        <v>137464.75781479274</v>
      </c>
      <c r="H665">
        <v>1.4837565878143302</v>
      </c>
    </row>
    <row r="666" spans="1:8" x14ac:dyDescent="0.5">
      <c r="A666" s="1">
        <v>44076</v>
      </c>
      <c r="B666">
        <v>87200</v>
      </c>
      <c r="C666">
        <v>116924.24000000017</v>
      </c>
      <c r="D666">
        <v>0</v>
      </c>
      <c r="E666">
        <v>204124.24000000017</v>
      </c>
      <c r="F666">
        <v>0</v>
      </c>
      <c r="G666">
        <v>137464.75781479274</v>
      </c>
      <c r="H666">
        <v>1.4849205225023436</v>
      </c>
    </row>
    <row r="667" spans="1:8" x14ac:dyDescent="0.5">
      <c r="A667" s="1">
        <v>44077</v>
      </c>
      <c r="B667">
        <v>190300.79999999999</v>
      </c>
      <c r="C667">
        <v>203731.80000000016</v>
      </c>
      <c r="D667">
        <v>191000</v>
      </c>
      <c r="E667">
        <v>394032.60000000015</v>
      </c>
      <c r="F667">
        <v>128626.41273092011</v>
      </c>
      <c r="G667">
        <v>266091.17054571287</v>
      </c>
      <c r="H667">
        <v>1.4808180188463176</v>
      </c>
    </row>
    <row r="668" spans="1:8" x14ac:dyDescent="0.5">
      <c r="A668" s="1">
        <v>44078</v>
      </c>
      <c r="B668">
        <v>51584</v>
      </c>
      <c r="C668">
        <v>339944.14000000013</v>
      </c>
      <c r="D668">
        <v>0</v>
      </c>
      <c r="E668">
        <v>391528.14000000013</v>
      </c>
      <c r="F668">
        <v>0</v>
      </c>
      <c r="G668">
        <v>266091.17054571287</v>
      </c>
      <c r="H668">
        <v>1.4714059816304124</v>
      </c>
    </row>
    <row r="669" spans="1:8" x14ac:dyDescent="0.5">
      <c r="A669" s="1">
        <v>44081</v>
      </c>
      <c r="B669">
        <v>50876.799999999996</v>
      </c>
      <c r="C669">
        <v>339944.14000000013</v>
      </c>
      <c r="D669">
        <v>0</v>
      </c>
      <c r="E669">
        <v>390820.94000000012</v>
      </c>
      <c r="F669">
        <v>0</v>
      </c>
      <c r="G669">
        <v>266091.17054571287</v>
      </c>
      <c r="H669">
        <v>1.468748245943243</v>
      </c>
    </row>
    <row r="670" spans="1:8" x14ac:dyDescent="0.5">
      <c r="A670" s="1">
        <v>44082</v>
      </c>
      <c r="B670">
        <v>50876.799999999996</v>
      </c>
      <c r="C670">
        <v>339944.14000000013</v>
      </c>
      <c r="D670">
        <v>0</v>
      </c>
      <c r="E670">
        <v>390820.94000000012</v>
      </c>
      <c r="F670">
        <v>0</v>
      </c>
      <c r="G670">
        <v>266091.17054571287</v>
      </c>
      <c r="H670">
        <v>1.468748245943243</v>
      </c>
    </row>
    <row r="671" spans="1:8" x14ac:dyDescent="0.5">
      <c r="A671" s="1">
        <v>44083</v>
      </c>
      <c r="B671">
        <v>0</v>
      </c>
      <c r="C671">
        <v>389893.25000000012</v>
      </c>
      <c r="D671">
        <v>0</v>
      </c>
      <c r="E671">
        <v>389893.25000000012</v>
      </c>
      <c r="F671">
        <v>0</v>
      </c>
      <c r="G671">
        <v>266091.17054571287</v>
      </c>
      <c r="H671">
        <v>1.4652618844901462</v>
      </c>
    </row>
    <row r="672" spans="1:8" x14ac:dyDescent="0.5">
      <c r="A672" s="1">
        <v>44084</v>
      </c>
      <c r="B672">
        <v>0</v>
      </c>
      <c r="C672">
        <v>389893.25000000012</v>
      </c>
      <c r="D672">
        <v>0</v>
      </c>
      <c r="E672">
        <v>389893.25000000012</v>
      </c>
      <c r="F672">
        <v>0</v>
      </c>
      <c r="G672">
        <v>266091.17054571287</v>
      </c>
      <c r="H672">
        <v>1.4652618844901462</v>
      </c>
    </row>
    <row r="673" spans="1:8" x14ac:dyDescent="0.5">
      <c r="A673" s="1">
        <v>44085</v>
      </c>
      <c r="B673">
        <v>0</v>
      </c>
      <c r="C673">
        <v>389893.25000000012</v>
      </c>
      <c r="D673">
        <v>0</v>
      </c>
      <c r="E673">
        <v>389893.25000000012</v>
      </c>
      <c r="F673">
        <v>0</v>
      </c>
      <c r="G673">
        <v>266091.17054571287</v>
      </c>
      <c r="H673">
        <v>1.4652618844901462</v>
      </c>
    </row>
    <row r="674" spans="1:8" x14ac:dyDescent="0.5">
      <c r="A674" s="1">
        <v>44088</v>
      </c>
      <c r="B674">
        <v>0</v>
      </c>
      <c r="C674">
        <v>389893.25000000012</v>
      </c>
      <c r="D674">
        <v>0</v>
      </c>
      <c r="E674">
        <v>389893.25000000012</v>
      </c>
      <c r="F674">
        <v>0</v>
      </c>
      <c r="G674">
        <v>266091.17054571287</v>
      </c>
      <c r="H674">
        <v>1.4652618844901462</v>
      </c>
    </row>
    <row r="675" spans="1:8" x14ac:dyDescent="0.5">
      <c r="A675" s="1">
        <v>44089</v>
      </c>
      <c r="B675">
        <v>0</v>
      </c>
      <c r="C675">
        <v>389893.25000000012</v>
      </c>
      <c r="D675">
        <v>0</v>
      </c>
      <c r="E675">
        <v>389893.25000000012</v>
      </c>
      <c r="F675">
        <v>0</v>
      </c>
      <c r="G675">
        <v>266091.17054571287</v>
      </c>
      <c r="H675">
        <v>1.4652618844901462</v>
      </c>
    </row>
    <row r="676" spans="1:8" x14ac:dyDescent="0.5">
      <c r="A676" s="1">
        <v>44090</v>
      </c>
      <c r="B676">
        <v>0</v>
      </c>
      <c r="C676">
        <v>389893.25000000012</v>
      </c>
      <c r="D676">
        <v>0</v>
      </c>
      <c r="E676">
        <v>389893.25000000012</v>
      </c>
      <c r="F676">
        <v>0</v>
      </c>
      <c r="G676">
        <v>266091.17054571287</v>
      </c>
      <c r="H676">
        <v>1.4652618844901462</v>
      </c>
    </row>
    <row r="677" spans="1:8" x14ac:dyDescent="0.5">
      <c r="A677" s="1">
        <v>44091</v>
      </c>
      <c r="B677">
        <v>0</v>
      </c>
      <c r="C677">
        <v>389893.25000000012</v>
      </c>
      <c r="D677">
        <v>0</v>
      </c>
      <c r="E677">
        <v>389893.25000000012</v>
      </c>
      <c r="F677">
        <v>0</v>
      </c>
      <c r="G677">
        <v>266091.17054571287</v>
      </c>
      <c r="H677">
        <v>1.4652618844901462</v>
      </c>
    </row>
    <row r="678" spans="1:8" x14ac:dyDescent="0.5">
      <c r="A678" s="1">
        <v>44092</v>
      </c>
      <c r="B678">
        <v>0</v>
      </c>
      <c r="C678">
        <v>389980.56000000011</v>
      </c>
      <c r="D678">
        <v>0</v>
      </c>
      <c r="E678">
        <v>389980.56000000011</v>
      </c>
      <c r="F678">
        <v>0</v>
      </c>
      <c r="G678">
        <v>266091.17054571287</v>
      </c>
      <c r="H678">
        <v>1.4655900051106874</v>
      </c>
    </row>
    <row r="679" spans="1:8" x14ac:dyDescent="0.5">
      <c r="A679" s="1">
        <v>44095</v>
      </c>
      <c r="B679">
        <v>0</v>
      </c>
      <c r="C679">
        <v>389980.56000000011</v>
      </c>
      <c r="D679">
        <v>0</v>
      </c>
      <c r="E679">
        <v>389980.56000000011</v>
      </c>
      <c r="F679">
        <v>0</v>
      </c>
      <c r="G679">
        <v>266091.17054571287</v>
      </c>
      <c r="H679">
        <v>1.4655900051106874</v>
      </c>
    </row>
    <row r="680" spans="1:8" x14ac:dyDescent="0.5">
      <c r="A680" s="1">
        <v>44096</v>
      </c>
      <c r="B680">
        <v>0</v>
      </c>
      <c r="C680">
        <v>389980.56000000011</v>
      </c>
      <c r="D680">
        <v>0</v>
      </c>
      <c r="E680">
        <v>389980.56000000011</v>
      </c>
      <c r="F680">
        <v>0</v>
      </c>
      <c r="G680">
        <v>266091.17054571287</v>
      </c>
      <c r="H680">
        <v>1.4655900051106874</v>
      </c>
    </row>
    <row r="681" spans="1:8" x14ac:dyDescent="0.5">
      <c r="A681" s="1">
        <v>44097</v>
      </c>
      <c r="B681">
        <v>0</v>
      </c>
      <c r="C681">
        <v>389980.56000000011</v>
      </c>
      <c r="D681">
        <v>0</v>
      </c>
      <c r="E681">
        <v>389980.56000000011</v>
      </c>
      <c r="F681">
        <v>0</v>
      </c>
      <c r="G681">
        <v>266091.17054571287</v>
      </c>
      <c r="H681">
        <v>1.4655900051106874</v>
      </c>
    </row>
    <row r="682" spans="1:8" x14ac:dyDescent="0.5">
      <c r="A682" s="1">
        <v>44098</v>
      </c>
      <c r="B682">
        <v>87204</v>
      </c>
      <c r="C682">
        <v>301980.57000000012</v>
      </c>
      <c r="D682">
        <v>0</v>
      </c>
      <c r="E682">
        <v>389184.57000000012</v>
      </c>
      <c r="F682">
        <v>0</v>
      </c>
      <c r="G682">
        <v>266091.17054571287</v>
      </c>
      <c r="H682">
        <v>1.4625985867995592</v>
      </c>
    </row>
    <row r="683" spans="1:8" x14ac:dyDescent="0.5">
      <c r="A683" s="1">
        <v>44099</v>
      </c>
      <c r="B683">
        <v>87462.000000000015</v>
      </c>
      <c r="C683">
        <v>301980.57000000012</v>
      </c>
      <c r="D683">
        <v>0</v>
      </c>
      <c r="E683">
        <v>389442.57000000012</v>
      </c>
      <c r="F683">
        <v>0</v>
      </c>
      <c r="G683">
        <v>266091.17054571287</v>
      </c>
      <c r="H683">
        <v>1.4635681792872426</v>
      </c>
    </row>
    <row r="684" spans="1:8" x14ac:dyDescent="0.5">
      <c r="A684" s="1">
        <v>44102</v>
      </c>
      <c r="B684">
        <v>252004</v>
      </c>
      <c r="C684">
        <v>135282.91000000012</v>
      </c>
      <c r="D684">
        <v>0</v>
      </c>
      <c r="E684">
        <v>387286.91000000015</v>
      </c>
      <c r="F684">
        <v>0</v>
      </c>
      <c r="G684">
        <v>266091.17054571287</v>
      </c>
      <c r="H684">
        <v>1.4554669709849188</v>
      </c>
    </row>
    <row r="685" spans="1:8" x14ac:dyDescent="0.5">
      <c r="A685" s="1">
        <v>44103</v>
      </c>
      <c r="B685">
        <v>254302</v>
      </c>
      <c r="C685">
        <v>335282.91000000015</v>
      </c>
      <c r="D685">
        <v>200000</v>
      </c>
      <c r="E685">
        <v>589584.91000000015</v>
      </c>
      <c r="F685">
        <v>137412.94305336205</v>
      </c>
      <c r="G685">
        <v>403504.11359907489</v>
      </c>
      <c r="H685">
        <v>1.4611620802107033</v>
      </c>
    </row>
    <row r="686" spans="1:8" x14ac:dyDescent="0.5">
      <c r="A686" s="1">
        <v>44104</v>
      </c>
      <c r="B686">
        <v>592611</v>
      </c>
      <c r="C686">
        <v>-926.11999999987893</v>
      </c>
      <c r="D686">
        <v>0</v>
      </c>
      <c r="E686">
        <v>591684.88000000012</v>
      </c>
      <c r="F686">
        <v>0</v>
      </c>
      <c r="G686">
        <v>403504.11359907489</v>
      </c>
      <c r="H686">
        <v>1.4663664137706989</v>
      </c>
    </row>
    <row r="687" spans="1:8" x14ac:dyDescent="0.5">
      <c r="A687" s="1">
        <v>44113</v>
      </c>
      <c r="B687">
        <v>615931.19999999995</v>
      </c>
      <c r="C687">
        <v>199073.88000000012</v>
      </c>
      <c r="D687">
        <v>200000</v>
      </c>
      <c r="E687">
        <v>815005.08000000007</v>
      </c>
      <c r="F687">
        <v>136391.55815476467</v>
      </c>
      <c r="G687">
        <v>539895.67175383959</v>
      </c>
      <c r="H687">
        <v>1.5095603144075473</v>
      </c>
    </row>
    <row r="688" spans="1:8" x14ac:dyDescent="0.5">
      <c r="A688" s="1">
        <v>44116</v>
      </c>
      <c r="B688">
        <v>635956.80000000005</v>
      </c>
      <c r="C688">
        <v>399073.88000000012</v>
      </c>
      <c r="D688">
        <v>200000</v>
      </c>
      <c r="E688">
        <v>1035030.6800000002</v>
      </c>
      <c r="F688">
        <v>132488.9095792727</v>
      </c>
      <c r="G688">
        <v>672384.58133311232</v>
      </c>
      <c r="H688">
        <v>1.5393432698112777</v>
      </c>
    </row>
    <row r="689" spans="1:8" x14ac:dyDescent="0.5">
      <c r="A689" s="1">
        <v>44117</v>
      </c>
      <c r="B689">
        <v>908962.8</v>
      </c>
      <c r="C689">
        <v>429510.51000000013</v>
      </c>
      <c r="D689">
        <v>300000</v>
      </c>
      <c r="E689">
        <v>1338473.31</v>
      </c>
      <c r="F689">
        <v>194888.30456690778</v>
      </c>
      <c r="G689">
        <v>867272.88590002013</v>
      </c>
      <c r="H689">
        <v>1.5433127586030635</v>
      </c>
    </row>
    <row r="690" spans="1:8" x14ac:dyDescent="0.5">
      <c r="A690" s="1">
        <v>44118</v>
      </c>
      <c r="B690">
        <v>903850.2</v>
      </c>
      <c r="C690">
        <v>429510.51000000013</v>
      </c>
      <c r="D690">
        <v>0</v>
      </c>
      <c r="E690">
        <v>1333360.71</v>
      </c>
      <c r="F690">
        <v>0</v>
      </c>
      <c r="G690">
        <v>867272.88590002013</v>
      </c>
      <c r="H690">
        <v>1.5374177282347448</v>
      </c>
    </row>
    <row r="691" spans="1:8" x14ac:dyDescent="0.5">
      <c r="A691" s="1">
        <v>44119</v>
      </c>
      <c r="B691">
        <v>994038.8</v>
      </c>
      <c r="C691">
        <v>331982.13000000012</v>
      </c>
      <c r="D691">
        <v>0</v>
      </c>
      <c r="E691">
        <v>1326020.9300000002</v>
      </c>
      <c r="F691">
        <v>0</v>
      </c>
      <c r="G691">
        <v>867272.88590002013</v>
      </c>
      <c r="H691">
        <v>1.5289546710824589</v>
      </c>
    </row>
    <row r="692" spans="1:8" x14ac:dyDescent="0.5">
      <c r="A692" s="1">
        <v>44120</v>
      </c>
      <c r="B692">
        <v>1175674.2000000002</v>
      </c>
      <c r="C692">
        <v>152321.2300000001</v>
      </c>
      <c r="D692">
        <v>0</v>
      </c>
      <c r="E692">
        <v>1327995.4300000002</v>
      </c>
      <c r="F692">
        <v>0</v>
      </c>
      <c r="G692">
        <v>867272.88590002013</v>
      </c>
      <c r="H692">
        <v>1.5312313478148936</v>
      </c>
    </row>
    <row r="693" spans="1:8" x14ac:dyDescent="0.5">
      <c r="A693" s="1">
        <v>44123</v>
      </c>
      <c r="B693">
        <v>1236710.2000000002</v>
      </c>
      <c r="C693">
        <v>269100.43000000011</v>
      </c>
      <c r="D693">
        <v>200000</v>
      </c>
      <c r="E693">
        <v>1505810.6300000004</v>
      </c>
      <c r="F693">
        <v>130613.8359075558</v>
      </c>
      <c r="G693">
        <v>997886.7218075759</v>
      </c>
      <c r="H693">
        <v>1.5089995658749413</v>
      </c>
    </row>
    <row r="694" spans="1:8" x14ac:dyDescent="0.5">
      <c r="A694" s="1">
        <v>44124</v>
      </c>
      <c r="B694">
        <v>1420471.7999999998</v>
      </c>
      <c r="C694">
        <v>104499.2900000001</v>
      </c>
      <c r="D694">
        <v>0</v>
      </c>
      <c r="E694">
        <v>1524971.0899999999</v>
      </c>
      <c r="F694">
        <v>0</v>
      </c>
      <c r="G694">
        <v>997886.7218075759</v>
      </c>
      <c r="H694">
        <v>1.528200603007986</v>
      </c>
    </row>
    <row r="695" spans="1:8" x14ac:dyDescent="0.5">
      <c r="A695" s="1">
        <v>44125</v>
      </c>
      <c r="B695">
        <v>1411710</v>
      </c>
      <c r="C695">
        <v>104499.2900000001</v>
      </c>
      <c r="D695">
        <v>0</v>
      </c>
      <c r="E695">
        <v>1516209.29</v>
      </c>
      <c r="F695">
        <v>0</v>
      </c>
      <c r="G695">
        <v>997886.7218075759</v>
      </c>
      <c r="H695">
        <v>1.5194202476745382</v>
      </c>
    </row>
    <row r="696" spans="1:8" x14ac:dyDescent="0.5">
      <c r="A696" s="1">
        <v>44126</v>
      </c>
      <c r="B696">
        <v>195300</v>
      </c>
      <c r="C696">
        <v>1293000.6700000002</v>
      </c>
      <c r="D696">
        <v>0</v>
      </c>
      <c r="E696">
        <v>1488300.6700000002</v>
      </c>
      <c r="F696">
        <v>0</v>
      </c>
      <c r="G696">
        <v>997886.7218075759</v>
      </c>
      <c r="H696">
        <v>1.4914525240942043</v>
      </c>
    </row>
    <row r="697" spans="1:8" x14ac:dyDescent="0.5">
      <c r="A697" s="1">
        <v>44127</v>
      </c>
      <c r="B697">
        <v>295400</v>
      </c>
      <c r="C697">
        <v>1084473.54</v>
      </c>
      <c r="D697">
        <v>-100000</v>
      </c>
      <c r="E697">
        <v>1379873.54</v>
      </c>
      <c r="F697">
        <v>-67048.731611978365</v>
      </c>
      <c r="G697">
        <v>930837.99019559752</v>
      </c>
      <c r="H697">
        <v>1.4823992515712068</v>
      </c>
    </row>
    <row r="698" spans="1:8" x14ac:dyDescent="0.5">
      <c r="A698" s="1">
        <v>44130</v>
      </c>
      <c r="B698">
        <v>0</v>
      </c>
      <c r="C698">
        <v>1378400.04</v>
      </c>
      <c r="D698">
        <v>0</v>
      </c>
      <c r="E698">
        <v>1378400.04</v>
      </c>
      <c r="F698">
        <v>0</v>
      </c>
      <c r="G698">
        <v>930837.99019559752</v>
      </c>
      <c r="H698">
        <v>1.4808162693385087</v>
      </c>
    </row>
    <row r="699" spans="1:8" x14ac:dyDescent="0.5">
      <c r="A699" s="1">
        <v>44131</v>
      </c>
      <c r="B699">
        <v>0</v>
      </c>
      <c r="C699">
        <v>1378400.04</v>
      </c>
      <c r="D699">
        <v>0</v>
      </c>
      <c r="E699">
        <v>1378400.04</v>
      </c>
      <c r="F699">
        <v>0</v>
      </c>
      <c r="G699">
        <v>930837.99019559752</v>
      </c>
      <c r="H699">
        <v>1.4808162693385087</v>
      </c>
    </row>
    <row r="700" spans="1:8" x14ac:dyDescent="0.5">
      <c r="A700" s="1">
        <v>44132</v>
      </c>
      <c r="B700">
        <v>0</v>
      </c>
      <c r="C700">
        <v>1378400.04</v>
      </c>
      <c r="D700">
        <v>0</v>
      </c>
      <c r="E700">
        <v>1378400.04</v>
      </c>
      <c r="F700">
        <v>0</v>
      </c>
      <c r="G700">
        <v>930837.99019559752</v>
      </c>
      <c r="H700">
        <v>1.4808162693385087</v>
      </c>
    </row>
    <row r="701" spans="1:8" x14ac:dyDescent="0.5">
      <c r="A701" s="1">
        <v>44133</v>
      </c>
      <c r="B701">
        <v>0</v>
      </c>
      <c r="C701">
        <v>1378400.04</v>
      </c>
      <c r="D701">
        <v>0</v>
      </c>
      <c r="E701">
        <v>1378400.04</v>
      </c>
      <c r="F701">
        <v>0</v>
      </c>
      <c r="G701">
        <v>930837.99019559752</v>
      </c>
      <c r="H701">
        <v>1.4808162693385087</v>
      </c>
    </row>
    <row r="702" spans="1:8" x14ac:dyDescent="0.5">
      <c r="A702" s="1">
        <v>44134</v>
      </c>
      <c r="B702">
        <v>558835.99999999988</v>
      </c>
      <c r="C702">
        <v>812677.64</v>
      </c>
      <c r="D702">
        <v>0</v>
      </c>
      <c r="E702">
        <v>1371513.64</v>
      </c>
      <c r="F702">
        <v>0</v>
      </c>
      <c r="G702">
        <v>930837.99019559752</v>
      </c>
      <c r="H702">
        <v>1.473418204291171</v>
      </c>
    </row>
    <row r="703" spans="1:8" x14ac:dyDescent="0.5">
      <c r="A703" s="1">
        <v>44137</v>
      </c>
      <c r="B703">
        <v>538400</v>
      </c>
      <c r="C703">
        <v>850555.6</v>
      </c>
      <c r="D703">
        <v>0</v>
      </c>
      <c r="E703">
        <v>1388955.6</v>
      </c>
      <c r="F703">
        <v>0</v>
      </c>
      <c r="G703">
        <v>930837.99019559752</v>
      </c>
      <c r="H703">
        <v>1.4921561159188808</v>
      </c>
    </row>
    <row r="704" spans="1:8" x14ac:dyDescent="0.5">
      <c r="A704" s="1">
        <v>44138</v>
      </c>
      <c r="B704">
        <v>669239.99999999988</v>
      </c>
      <c r="C704">
        <v>723698.89</v>
      </c>
      <c r="D704">
        <v>0</v>
      </c>
      <c r="E704">
        <v>1392938.89</v>
      </c>
      <c r="F704">
        <v>0</v>
      </c>
      <c r="G704">
        <v>930837.99019559752</v>
      </c>
      <c r="H704">
        <v>1.4964353675630502</v>
      </c>
    </row>
    <row r="705" spans="1:8" x14ac:dyDescent="0.5">
      <c r="A705" s="1">
        <v>44139</v>
      </c>
      <c r="B705">
        <v>945985</v>
      </c>
      <c r="C705">
        <v>464569.12</v>
      </c>
      <c r="D705">
        <v>0</v>
      </c>
      <c r="E705">
        <v>1410554.12</v>
      </c>
      <c r="F705">
        <v>0</v>
      </c>
      <c r="G705">
        <v>930837.99019559752</v>
      </c>
      <c r="H705">
        <v>1.5153594232908345</v>
      </c>
    </row>
    <row r="706" spans="1:8" x14ac:dyDescent="0.5">
      <c r="A706" s="1">
        <v>44140</v>
      </c>
      <c r="B706">
        <v>958999.99999999988</v>
      </c>
      <c r="C706">
        <v>464569.12</v>
      </c>
      <c r="D706">
        <v>0</v>
      </c>
      <c r="E706">
        <v>1423569.1199999999</v>
      </c>
      <c r="F706">
        <v>0</v>
      </c>
      <c r="G706">
        <v>930837.99019559752</v>
      </c>
      <c r="H706">
        <v>1.5293414482372647</v>
      </c>
    </row>
    <row r="707" spans="1:8" x14ac:dyDescent="0.5">
      <c r="A707" s="1">
        <v>44141</v>
      </c>
      <c r="B707">
        <v>1278048</v>
      </c>
      <c r="C707">
        <v>154464.62</v>
      </c>
      <c r="D707">
        <v>0</v>
      </c>
      <c r="E707">
        <v>1432512.62</v>
      </c>
      <c r="F707">
        <v>0</v>
      </c>
      <c r="G707">
        <v>930837.99019559752</v>
      </c>
      <c r="H707">
        <v>1.5389494574657243</v>
      </c>
    </row>
    <row r="708" spans="1:8" x14ac:dyDescent="0.5">
      <c r="A708" s="1">
        <v>44144</v>
      </c>
      <c r="B708">
        <v>1217891</v>
      </c>
      <c r="C708">
        <v>222060.32</v>
      </c>
      <c r="D708">
        <v>0</v>
      </c>
      <c r="E708">
        <v>1439951.32</v>
      </c>
      <c r="F708">
        <v>0</v>
      </c>
      <c r="G708">
        <v>930837.99019559752</v>
      </c>
      <c r="H708">
        <v>1.5469408588463631</v>
      </c>
    </row>
    <row r="709" spans="1:8" x14ac:dyDescent="0.5">
      <c r="A709" s="1">
        <v>44145</v>
      </c>
      <c r="B709">
        <v>1375910</v>
      </c>
      <c r="C709">
        <v>238234.37</v>
      </c>
      <c r="D709">
        <v>200000</v>
      </c>
      <c r="E709">
        <v>1614144.37</v>
      </c>
      <c r="F709">
        <v>129287.4248270556</v>
      </c>
      <c r="G709">
        <v>1060125.4150226531</v>
      </c>
      <c r="H709">
        <v>1.5225975598042885</v>
      </c>
    </row>
    <row r="710" spans="1:8" x14ac:dyDescent="0.5">
      <c r="A710" s="1">
        <v>44146</v>
      </c>
      <c r="B710">
        <v>1195538</v>
      </c>
      <c r="C710">
        <v>495735.11000000004</v>
      </c>
      <c r="D710">
        <v>100000</v>
      </c>
      <c r="E710">
        <v>1691273.11</v>
      </c>
      <c r="F710">
        <v>65677.236480566673</v>
      </c>
      <c r="G710">
        <v>1125802.6515032197</v>
      </c>
      <c r="H710">
        <v>1.5022820453848995</v>
      </c>
    </row>
    <row r="711" spans="1:8" x14ac:dyDescent="0.5">
      <c r="A711" s="1">
        <v>44147</v>
      </c>
      <c r="B711">
        <v>1211370</v>
      </c>
      <c r="C711">
        <v>495735.11000000004</v>
      </c>
      <c r="D711">
        <v>0</v>
      </c>
      <c r="E711">
        <v>1707105.11</v>
      </c>
      <c r="F711">
        <v>0</v>
      </c>
      <c r="G711">
        <v>1125802.6515032197</v>
      </c>
      <c r="H711">
        <v>1.5163449008763663</v>
      </c>
    </row>
    <row r="712" spans="1:8" x14ac:dyDescent="0.5">
      <c r="A712" s="1">
        <v>44148</v>
      </c>
      <c r="B712">
        <v>1206472</v>
      </c>
      <c r="C712">
        <v>495735.11000000004</v>
      </c>
      <c r="D712">
        <v>0</v>
      </c>
      <c r="E712">
        <v>1702207.11</v>
      </c>
      <c r="F712">
        <v>0</v>
      </c>
      <c r="G712">
        <v>1125802.6515032197</v>
      </c>
      <c r="H712">
        <v>1.5119942271650724</v>
      </c>
    </row>
    <row r="713" spans="1:8" x14ac:dyDescent="0.5">
      <c r="A713" s="1">
        <v>44151</v>
      </c>
      <c r="B713">
        <v>1206260</v>
      </c>
      <c r="C713">
        <v>495735.11000000004</v>
      </c>
      <c r="D713">
        <v>0</v>
      </c>
      <c r="E713">
        <v>1701995.11</v>
      </c>
      <c r="F713">
        <v>0</v>
      </c>
      <c r="G713">
        <v>1125802.6515032197</v>
      </c>
      <c r="H713">
        <v>1.5118059170738527</v>
      </c>
    </row>
    <row r="714" spans="1:8" x14ac:dyDescent="0.5">
      <c r="A714" s="1">
        <v>44152</v>
      </c>
      <c r="B714">
        <v>1109358</v>
      </c>
      <c r="C714">
        <v>592002.46000000008</v>
      </c>
      <c r="D714">
        <v>0</v>
      </c>
      <c r="E714">
        <v>1701360.46</v>
      </c>
      <c r="F714">
        <v>0</v>
      </c>
      <c r="G714">
        <v>1125802.6515032197</v>
      </c>
      <c r="H714">
        <v>1.5112421859446421</v>
      </c>
    </row>
    <row r="715" spans="1:8" x14ac:dyDescent="0.5">
      <c r="A715" s="1">
        <v>44153</v>
      </c>
      <c r="B715">
        <v>1236416</v>
      </c>
      <c r="C715">
        <v>447316.30000000005</v>
      </c>
      <c r="D715">
        <v>0</v>
      </c>
      <c r="E715">
        <v>1683732.3</v>
      </c>
      <c r="F715">
        <v>0</v>
      </c>
      <c r="G715">
        <v>1125802.6515032197</v>
      </c>
      <c r="H715">
        <v>1.4955838820878675</v>
      </c>
    </row>
    <row r="716" spans="1:8" x14ac:dyDescent="0.5">
      <c r="A716" s="1">
        <v>44154</v>
      </c>
      <c r="B716">
        <v>1263616</v>
      </c>
      <c r="C716">
        <v>447316.30000000005</v>
      </c>
      <c r="D716">
        <v>0</v>
      </c>
      <c r="E716">
        <v>1710932.3</v>
      </c>
      <c r="F716">
        <v>0</v>
      </c>
      <c r="G716">
        <v>1125802.6515032197</v>
      </c>
      <c r="H716">
        <v>1.5197444220934195</v>
      </c>
    </row>
    <row r="717" spans="1:8" x14ac:dyDescent="0.5">
      <c r="A717" s="1">
        <v>44155</v>
      </c>
      <c r="B717">
        <v>1304364</v>
      </c>
      <c r="C717">
        <v>413086.74000000005</v>
      </c>
      <c r="D717">
        <v>0</v>
      </c>
      <c r="E717">
        <v>1717450.74</v>
      </c>
      <c r="F717">
        <v>0</v>
      </c>
      <c r="G717">
        <v>1125802.6515032197</v>
      </c>
      <c r="H717">
        <v>1.525534459975544</v>
      </c>
    </row>
    <row r="718" spans="1:8" x14ac:dyDescent="0.5">
      <c r="A718" s="1">
        <v>44158</v>
      </c>
      <c r="B718">
        <v>1352068</v>
      </c>
      <c r="C718">
        <v>378066.49000000005</v>
      </c>
      <c r="D718">
        <v>0</v>
      </c>
      <c r="E718">
        <v>1730134.49</v>
      </c>
      <c r="F718">
        <v>0</v>
      </c>
      <c r="G718">
        <v>1125802.6515032197</v>
      </c>
      <c r="H718">
        <v>1.5368008661996404</v>
      </c>
    </row>
    <row r="719" spans="1:8" x14ac:dyDescent="0.5">
      <c r="A719" s="1">
        <v>44159</v>
      </c>
      <c r="B719">
        <v>1403371.5</v>
      </c>
      <c r="C719">
        <v>305870.85000000003</v>
      </c>
      <c r="D719">
        <v>0</v>
      </c>
      <c r="E719">
        <v>1709242.35</v>
      </c>
      <c r="F719">
        <v>0</v>
      </c>
      <c r="G719">
        <v>1125802.6515032197</v>
      </c>
      <c r="H719">
        <v>1.5182433153073025</v>
      </c>
    </row>
    <row r="720" spans="1:8" x14ac:dyDescent="0.5">
      <c r="A720" s="1">
        <v>44160</v>
      </c>
      <c r="B720">
        <v>1378682.8</v>
      </c>
      <c r="C720">
        <v>305870.85000000003</v>
      </c>
      <c r="D720">
        <v>0</v>
      </c>
      <c r="E720">
        <v>1684553.6500000001</v>
      </c>
      <c r="F720">
        <v>0</v>
      </c>
      <c r="G720">
        <v>1125802.6515032197</v>
      </c>
      <c r="H720">
        <v>1.496313450453072</v>
      </c>
    </row>
    <row r="721" spans="1:8" x14ac:dyDescent="0.5">
      <c r="A721" s="1">
        <v>44161</v>
      </c>
      <c r="B721">
        <v>287241.90000000002</v>
      </c>
      <c r="C721">
        <v>1372740.07</v>
      </c>
      <c r="D721">
        <v>0</v>
      </c>
      <c r="E721">
        <v>1659981.9700000002</v>
      </c>
      <c r="F721">
        <v>0</v>
      </c>
      <c r="G721">
        <v>1125802.6515032197</v>
      </c>
      <c r="H721">
        <v>1.4744875292161743</v>
      </c>
    </row>
    <row r="722" spans="1:8" x14ac:dyDescent="0.5">
      <c r="A722" s="1">
        <v>44162</v>
      </c>
      <c r="B722">
        <v>285968.09999999998</v>
      </c>
      <c r="C722">
        <v>1372740.07</v>
      </c>
      <c r="D722">
        <v>0</v>
      </c>
      <c r="E722">
        <v>1658708.17</v>
      </c>
      <c r="F722">
        <v>0</v>
      </c>
      <c r="G722">
        <v>1125802.6515032197</v>
      </c>
      <c r="H722">
        <v>1.4733560698095904</v>
      </c>
    </row>
    <row r="723" spans="1:8" x14ac:dyDescent="0.5">
      <c r="A723" s="1">
        <v>44165</v>
      </c>
      <c r="B723">
        <v>201432</v>
      </c>
      <c r="C723">
        <v>1453860.84</v>
      </c>
      <c r="D723">
        <v>0</v>
      </c>
      <c r="E723">
        <v>1655292.84</v>
      </c>
      <c r="F723">
        <v>0</v>
      </c>
      <c r="G723">
        <v>1125802.6515032197</v>
      </c>
      <c r="H723">
        <v>1.4703223853574892</v>
      </c>
    </row>
    <row r="724" spans="1:8" x14ac:dyDescent="0.5">
      <c r="A724" s="1">
        <v>44166</v>
      </c>
      <c r="B724">
        <v>202944</v>
      </c>
      <c r="C724">
        <v>1453860.84</v>
      </c>
      <c r="D724">
        <v>0</v>
      </c>
      <c r="E724">
        <v>1656804.84</v>
      </c>
      <c r="F724">
        <v>0</v>
      </c>
      <c r="G724">
        <v>1125802.6515032197</v>
      </c>
      <c r="H724">
        <v>1.4716654271401506</v>
      </c>
    </row>
    <row r="725" spans="1:8" x14ac:dyDescent="0.5">
      <c r="A725" s="1">
        <v>44167</v>
      </c>
      <c r="B725">
        <v>678513.99999999988</v>
      </c>
      <c r="C725">
        <v>980947.64000000013</v>
      </c>
      <c r="D725">
        <v>0</v>
      </c>
      <c r="E725">
        <v>1659461.6400000001</v>
      </c>
      <c r="F725">
        <v>0</v>
      </c>
      <c r="G725">
        <v>1125802.6515032197</v>
      </c>
      <c r="H725">
        <v>1.4740253434153989</v>
      </c>
    </row>
    <row r="726" spans="1:8" x14ac:dyDescent="0.5">
      <c r="A726" s="1">
        <v>44168</v>
      </c>
      <c r="B726">
        <v>870935</v>
      </c>
      <c r="C726">
        <v>1143336.25</v>
      </c>
      <c r="D726">
        <v>360000</v>
      </c>
      <c r="E726">
        <v>2014271.25</v>
      </c>
      <c r="F726">
        <v>244229.17937479957</v>
      </c>
      <c r="G726">
        <v>1370031.8308780193</v>
      </c>
      <c r="H726">
        <v>1.4702368255992297</v>
      </c>
    </row>
    <row r="727" spans="1:8" x14ac:dyDescent="0.5">
      <c r="A727" s="1">
        <v>44169</v>
      </c>
      <c r="B727">
        <v>1218504</v>
      </c>
      <c r="C727">
        <v>797984.92999999993</v>
      </c>
      <c r="D727">
        <v>0</v>
      </c>
      <c r="E727">
        <v>2016488.93</v>
      </c>
      <c r="F727">
        <v>0</v>
      </c>
      <c r="G727">
        <v>1370031.8308780193</v>
      </c>
      <c r="H727">
        <v>1.4718555325153886</v>
      </c>
    </row>
    <row r="728" spans="1:8" x14ac:dyDescent="0.5">
      <c r="A728" s="1">
        <v>44172</v>
      </c>
      <c r="B728">
        <v>1381402</v>
      </c>
      <c r="C728">
        <v>629798.8899999999</v>
      </c>
      <c r="D728">
        <v>0</v>
      </c>
      <c r="E728">
        <v>2011200.89</v>
      </c>
      <c r="F728">
        <v>0</v>
      </c>
      <c r="G728">
        <v>1370031.8308780193</v>
      </c>
      <c r="H728">
        <v>1.4679957389829923</v>
      </c>
    </row>
    <row r="729" spans="1:8" x14ac:dyDescent="0.5">
      <c r="A729" s="1">
        <v>44173</v>
      </c>
      <c r="B729">
        <v>1573070</v>
      </c>
      <c r="C729">
        <v>445104.72999999992</v>
      </c>
      <c r="D729">
        <v>0</v>
      </c>
      <c r="E729">
        <v>2018174.73</v>
      </c>
      <c r="F729">
        <v>0</v>
      </c>
      <c r="G729">
        <v>1370031.8308780193</v>
      </c>
      <c r="H729">
        <v>1.4730860148749989</v>
      </c>
    </row>
    <row r="730" spans="1:8" x14ac:dyDescent="0.5">
      <c r="A730" s="1">
        <v>44174</v>
      </c>
      <c r="B730">
        <v>1613735</v>
      </c>
      <c r="C730">
        <v>362304.27999999991</v>
      </c>
      <c r="D730">
        <v>0</v>
      </c>
      <c r="E730">
        <v>1976039.2799999998</v>
      </c>
      <c r="F730">
        <v>0</v>
      </c>
      <c r="G730">
        <v>1370031.8308780193</v>
      </c>
      <c r="H730">
        <v>1.4423309265257036</v>
      </c>
    </row>
    <row r="731" spans="1:8" x14ac:dyDescent="0.5">
      <c r="A731" s="1">
        <v>44175</v>
      </c>
      <c r="B731">
        <v>1704207</v>
      </c>
      <c r="C731">
        <v>271343.54999999993</v>
      </c>
      <c r="D731">
        <v>0</v>
      </c>
      <c r="E731">
        <v>1975550.5499999998</v>
      </c>
      <c r="F731">
        <v>0</v>
      </c>
      <c r="G731">
        <v>1370031.8308780193</v>
      </c>
      <c r="H731">
        <v>1.441974197587744</v>
      </c>
    </row>
    <row r="732" spans="1:8" x14ac:dyDescent="0.5">
      <c r="A732" s="1">
        <v>44176</v>
      </c>
      <c r="B732">
        <v>1913757</v>
      </c>
      <c r="C732">
        <v>37485.099999999919</v>
      </c>
      <c r="D732">
        <v>0</v>
      </c>
      <c r="E732">
        <v>1951242.0999999999</v>
      </c>
      <c r="F732">
        <v>0</v>
      </c>
      <c r="G732">
        <v>1370031.8308780193</v>
      </c>
      <c r="H732">
        <v>1.4242312156714616</v>
      </c>
    </row>
    <row r="733" spans="1:8" x14ac:dyDescent="0.5">
      <c r="A733" s="1">
        <v>44179</v>
      </c>
      <c r="B733">
        <v>1938692</v>
      </c>
      <c r="C733">
        <v>37485.099999999919</v>
      </c>
      <c r="D733">
        <v>0</v>
      </c>
      <c r="E733">
        <v>1976177.0999999999</v>
      </c>
      <c r="F733">
        <v>0</v>
      </c>
      <c r="G733">
        <v>1370031.8308780193</v>
      </c>
      <c r="H733">
        <v>1.4424315227285756</v>
      </c>
    </row>
    <row r="734" spans="1:8" x14ac:dyDescent="0.5">
      <c r="A734" s="1">
        <v>44180</v>
      </c>
      <c r="B734">
        <v>1940575</v>
      </c>
      <c r="C734">
        <v>37485.099999999919</v>
      </c>
      <c r="D734">
        <v>0</v>
      </c>
      <c r="E734">
        <v>1978060.0999999999</v>
      </c>
      <c r="F734">
        <v>0</v>
      </c>
      <c r="G734">
        <v>1370031.8308780193</v>
      </c>
      <c r="H734">
        <v>1.4438059433497326</v>
      </c>
    </row>
    <row r="735" spans="1:8" x14ac:dyDescent="0.5">
      <c r="A735" s="1">
        <v>44181</v>
      </c>
      <c r="B735">
        <v>1963156</v>
      </c>
      <c r="C735">
        <v>-3237.0800000000818</v>
      </c>
      <c r="D735">
        <v>0</v>
      </c>
      <c r="E735">
        <v>1959918.92</v>
      </c>
      <c r="F735">
        <v>0</v>
      </c>
      <c r="G735">
        <v>1370031.8308780193</v>
      </c>
      <c r="H735">
        <v>1.4305645137777103</v>
      </c>
    </row>
    <row r="736" spans="1:8" x14ac:dyDescent="0.5">
      <c r="A736" s="1">
        <v>44182</v>
      </c>
      <c r="B736">
        <v>1871286</v>
      </c>
      <c r="C736">
        <v>110612.46999999991</v>
      </c>
      <c r="D736">
        <v>0</v>
      </c>
      <c r="E736">
        <v>1981898.47</v>
      </c>
      <c r="F736">
        <v>0</v>
      </c>
      <c r="G736">
        <v>1370031.8308780193</v>
      </c>
      <c r="H736">
        <v>1.4466076081822496</v>
      </c>
    </row>
    <row r="737" spans="1:8" x14ac:dyDescent="0.5">
      <c r="A737" s="1">
        <v>44183</v>
      </c>
      <c r="B737">
        <v>1869828</v>
      </c>
      <c r="C737">
        <v>110684.42999999992</v>
      </c>
      <c r="D737">
        <v>0</v>
      </c>
      <c r="E737">
        <v>1980512.43</v>
      </c>
      <c r="F737">
        <v>0</v>
      </c>
      <c r="G737">
        <v>1370031.8308780193</v>
      </c>
      <c r="H737">
        <v>1.4455959236587508</v>
      </c>
    </row>
    <row r="738" spans="1:8" x14ac:dyDescent="0.5">
      <c r="A738" s="1">
        <v>44186</v>
      </c>
      <c r="B738">
        <v>1925289</v>
      </c>
      <c r="C738">
        <v>110684.42999999992</v>
      </c>
      <c r="D738">
        <v>0</v>
      </c>
      <c r="E738">
        <v>2035973.43</v>
      </c>
      <c r="F738">
        <v>0</v>
      </c>
      <c r="G738">
        <v>1370031.8308780193</v>
      </c>
      <c r="H738">
        <v>1.4860774648536414</v>
      </c>
    </row>
    <row r="739" spans="1:8" x14ac:dyDescent="0.5">
      <c r="A739" s="1">
        <v>44187</v>
      </c>
      <c r="B739">
        <v>1861468</v>
      </c>
      <c r="C739">
        <v>110684.42999999992</v>
      </c>
      <c r="D739">
        <v>0</v>
      </c>
      <c r="E739">
        <v>1972152.43</v>
      </c>
      <c r="F739">
        <v>0</v>
      </c>
      <c r="G739">
        <v>1370031.8308780193</v>
      </c>
      <c r="H739">
        <v>1.4394938756540396</v>
      </c>
    </row>
    <row r="740" spans="1:8" x14ac:dyDescent="0.5">
      <c r="A740" s="1">
        <v>44188</v>
      </c>
      <c r="B740">
        <v>1906842</v>
      </c>
      <c r="C740">
        <v>110684.42999999992</v>
      </c>
      <c r="D740">
        <v>0</v>
      </c>
      <c r="E740">
        <v>2017526.43</v>
      </c>
      <c r="F740">
        <v>0</v>
      </c>
      <c r="G740">
        <v>1370031.8308780193</v>
      </c>
      <c r="H740">
        <v>1.4726128141906143</v>
      </c>
    </row>
    <row r="741" spans="1:8" x14ac:dyDescent="0.5">
      <c r="A741" s="1">
        <v>44189</v>
      </c>
      <c r="B741">
        <v>2010406.8</v>
      </c>
      <c r="C741">
        <v>-3765.9700000000885</v>
      </c>
      <c r="D741">
        <v>0</v>
      </c>
      <c r="E741">
        <v>2006640.83</v>
      </c>
      <c r="F741">
        <v>0</v>
      </c>
      <c r="G741">
        <v>1370031.8308780193</v>
      </c>
      <c r="H741">
        <v>1.464667305367638</v>
      </c>
    </row>
    <row r="742" spans="1:8" x14ac:dyDescent="0.5">
      <c r="A742" s="1">
        <v>44190</v>
      </c>
      <c r="B742">
        <v>2037281.4</v>
      </c>
      <c r="C742">
        <v>-3765.9700000000885</v>
      </c>
      <c r="D742">
        <v>0</v>
      </c>
      <c r="E742">
        <v>2033515.4299999997</v>
      </c>
      <c r="F742">
        <v>0</v>
      </c>
      <c r="G742">
        <v>1370031.8308780193</v>
      </c>
      <c r="H742">
        <v>1.4842833459546485</v>
      </c>
    </row>
    <row r="743" spans="1:8" x14ac:dyDescent="0.5">
      <c r="A743" s="1">
        <v>44193</v>
      </c>
      <c r="B743">
        <v>2027292.5</v>
      </c>
      <c r="C743">
        <v>-3765.9700000000885</v>
      </c>
      <c r="D743">
        <v>0</v>
      </c>
      <c r="E743">
        <v>2023526.5299999998</v>
      </c>
      <c r="F743">
        <v>0</v>
      </c>
      <c r="G743">
        <v>1370031.8308780193</v>
      </c>
      <c r="H743">
        <v>1.4769923474720816</v>
      </c>
    </row>
    <row r="744" spans="1:8" x14ac:dyDescent="0.5">
      <c r="A744" s="1">
        <v>44194</v>
      </c>
      <c r="B744">
        <v>2002894.2</v>
      </c>
      <c r="C744">
        <v>-3765.9700000000885</v>
      </c>
      <c r="D744">
        <v>0</v>
      </c>
      <c r="E744">
        <v>1999128.23</v>
      </c>
      <c r="F744">
        <v>0</v>
      </c>
      <c r="G744">
        <v>1370031.8308780193</v>
      </c>
      <c r="H744">
        <v>1.4591837831379497</v>
      </c>
    </row>
    <row r="745" spans="1:8" x14ac:dyDescent="0.5">
      <c r="A745" s="1">
        <v>44195</v>
      </c>
      <c r="B745">
        <v>2056978.5</v>
      </c>
      <c r="C745">
        <v>-3765.9700000000885</v>
      </c>
      <c r="D745">
        <v>0</v>
      </c>
      <c r="E745">
        <v>2053212.5299999998</v>
      </c>
      <c r="F745">
        <v>0</v>
      </c>
      <c r="G745">
        <v>1370031.8308780193</v>
      </c>
      <c r="H745">
        <v>1.4986604571691937</v>
      </c>
    </row>
    <row r="746" spans="1:8" x14ac:dyDescent="0.5">
      <c r="A746" s="1">
        <v>44196</v>
      </c>
      <c r="B746">
        <v>2128033.8000000003</v>
      </c>
      <c r="C746">
        <v>-3765.9700000000885</v>
      </c>
      <c r="D746">
        <v>0</v>
      </c>
      <c r="E746">
        <v>2124267.83</v>
      </c>
      <c r="F746">
        <v>0</v>
      </c>
      <c r="G746">
        <v>1370031.8308780193</v>
      </c>
      <c r="H746">
        <v>1.5505244346320113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000C6F9-ABAB-4CC2-BF41-1BD0A31C150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命名范围</vt:lpstr>
      </vt:variant>
      <vt:variant>
        <vt:i4>1</vt:i4>
      </vt:variant>
    </vt:vector>
  </HeadingPairs>
  <TitlesOfParts>
    <vt:vector size="6" baseType="lpstr">
      <vt:lpstr>交易记录</vt:lpstr>
      <vt:lpstr>Sheet2</vt:lpstr>
      <vt:lpstr>Sheet1</vt:lpstr>
      <vt:lpstr>净值记录</vt:lpstr>
      <vt:lpstr>RawData</vt:lpstr>
      <vt:lpstr>净值记录!Print_Titles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2021-04-20T06:52:45Z</dcterms:modified>
</cp:coreProperties>
</file>