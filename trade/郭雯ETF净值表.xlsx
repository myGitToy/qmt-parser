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 filterPrivacy="1"/>
  <xr:revisionPtr revIDLastSave="77" documentId="114_{88A210E7-0F58-4476-93EF-FC99B8818E22}" xr6:coauthVersionLast="45" xr6:coauthVersionMax="45" xr10:uidLastSave="{2A02CC39-3210-45E7-92BE-F2B5C1EFE0DB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  <sheet name="RawData" sheetId="4" r:id="rId3"/>
  </sheets>
  <definedNames>
    <definedName name="_xlnm._FilterDatabase" localSheetId="1" hidden="1">净值记录!$A$1:$F$178</definedName>
    <definedName name="ExternalData_1" localSheetId="2" hidden="1">RawData!$A$1:$H$623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82" i="2" l="1"/>
  <c r="F383" i="2"/>
  <c r="F384" i="2"/>
  <c r="F385" i="2"/>
  <c r="F386" i="2"/>
  <c r="F387" i="2"/>
  <c r="F388" i="2"/>
  <c r="F389" i="2"/>
  <c r="C382" i="2"/>
  <c r="D382" i="2" s="1"/>
  <c r="C383" i="2"/>
  <c r="D383" i="2" s="1"/>
  <c r="C384" i="2"/>
  <c r="D384" i="2" s="1"/>
  <c r="C385" i="2"/>
  <c r="D385" i="2"/>
  <c r="C386" i="2"/>
  <c r="D386" i="2" s="1"/>
  <c r="C387" i="2"/>
  <c r="D387" i="2" s="1"/>
  <c r="C388" i="2"/>
  <c r="D388" i="2" s="1"/>
  <c r="C389" i="2"/>
  <c r="D389" i="2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2" i="2"/>
  <c r="G4" i="1"/>
  <c r="G5" i="1"/>
  <c r="E5" i="1"/>
  <c r="E3" i="1"/>
  <c r="E4" i="1"/>
  <c r="E2" i="1"/>
  <c r="D277" i="2" l="1"/>
  <c r="F277" i="2" s="1"/>
  <c r="D278" i="2"/>
  <c r="F278" i="2" s="1"/>
  <c r="D279" i="2"/>
  <c r="F279" i="2" s="1"/>
  <c r="D280" i="2"/>
  <c r="F280" i="2" s="1"/>
  <c r="D281" i="2"/>
  <c r="F281" i="2" s="1"/>
  <c r="D282" i="2"/>
  <c r="F282" i="2" s="1"/>
  <c r="D283" i="2"/>
  <c r="F283" i="2" s="1"/>
  <c r="D284" i="2"/>
  <c r="F284" i="2" s="1"/>
  <c r="D285" i="2"/>
  <c r="F285" i="2" s="1"/>
  <c r="D286" i="2"/>
  <c r="F286" i="2" s="1"/>
  <c r="D287" i="2"/>
  <c r="F287" i="2" s="1"/>
  <c r="D288" i="2"/>
  <c r="F288" i="2" s="1"/>
  <c r="D289" i="2"/>
  <c r="F289" i="2" s="1"/>
  <c r="D290" i="2"/>
  <c r="F290" i="2" s="1"/>
  <c r="D291" i="2"/>
  <c r="F291" i="2" s="1"/>
  <c r="D292" i="2"/>
  <c r="F292" i="2" s="1"/>
  <c r="D293" i="2"/>
  <c r="F293" i="2" s="1"/>
  <c r="D294" i="2"/>
  <c r="F294" i="2" s="1"/>
  <c r="D295" i="2"/>
  <c r="F295" i="2" s="1"/>
  <c r="D296" i="2"/>
  <c r="F296" i="2" s="1"/>
  <c r="D297" i="2"/>
  <c r="F297" i="2" s="1"/>
  <c r="D298" i="2"/>
  <c r="F298" i="2" s="1"/>
  <c r="D299" i="2"/>
  <c r="F299" i="2" s="1"/>
  <c r="D300" i="2"/>
  <c r="F300" i="2" s="1"/>
  <c r="D301" i="2"/>
  <c r="F301" i="2" s="1"/>
  <c r="D302" i="2"/>
  <c r="F302" i="2" s="1"/>
  <c r="D303" i="2"/>
  <c r="F303" i="2" s="1"/>
  <c r="D304" i="2"/>
  <c r="F304" i="2" s="1"/>
  <c r="D305" i="2"/>
  <c r="F305" i="2" s="1"/>
  <c r="D306" i="2"/>
  <c r="F306" i="2" s="1"/>
  <c r="D307" i="2"/>
  <c r="F307" i="2" s="1"/>
  <c r="D308" i="2"/>
  <c r="F308" i="2" s="1"/>
  <c r="D309" i="2"/>
  <c r="F309" i="2" s="1"/>
  <c r="D310" i="2"/>
  <c r="F310" i="2" s="1"/>
  <c r="D311" i="2"/>
  <c r="F311" i="2" s="1"/>
  <c r="D312" i="2"/>
  <c r="F312" i="2" s="1"/>
  <c r="D313" i="2"/>
  <c r="F313" i="2" s="1"/>
  <c r="D314" i="2"/>
  <c r="F314" i="2" s="1"/>
  <c r="D315" i="2"/>
  <c r="F315" i="2" s="1"/>
  <c r="D316" i="2"/>
  <c r="F316" i="2" s="1"/>
  <c r="D317" i="2"/>
  <c r="F317" i="2" s="1"/>
  <c r="D318" i="2"/>
  <c r="F318" i="2" s="1"/>
  <c r="D319" i="2"/>
  <c r="F319" i="2" s="1"/>
  <c r="D320" i="2"/>
  <c r="F320" i="2" s="1"/>
  <c r="D321" i="2"/>
  <c r="F321" i="2" s="1"/>
  <c r="D322" i="2"/>
  <c r="F322" i="2" s="1"/>
  <c r="D323" i="2"/>
  <c r="F323" i="2" s="1"/>
  <c r="D324" i="2"/>
  <c r="F324" i="2" s="1"/>
  <c r="D325" i="2"/>
  <c r="F325" i="2" s="1"/>
  <c r="D326" i="2"/>
  <c r="F326" i="2" s="1"/>
  <c r="D327" i="2"/>
  <c r="F327" i="2" s="1"/>
  <c r="D328" i="2"/>
  <c r="F328" i="2" s="1"/>
  <c r="D329" i="2"/>
  <c r="F329" i="2" s="1"/>
  <c r="D330" i="2"/>
  <c r="F330" i="2" s="1"/>
  <c r="D331" i="2"/>
  <c r="F331" i="2" s="1"/>
  <c r="D332" i="2"/>
  <c r="F332" i="2" s="1"/>
  <c r="D333" i="2"/>
  <c r="F333" i="2" s="1"/>
  <c r="D334" i="2"/>
  <c r="F334" i="2" s="1"/>
  <c r="D335" i="2"/>
  <c r="F335" i="2" s="1"/>
  <c r="D336" i="2"/>
  <c r="F336" i="2" s="1"/>
  <c r="D337" i="2"/>
  <c r="F337" i="2" s="1"/>
  <c r="D338" i="2"/>
  <c r="F338" i="2" s="1"/>
  <c r="D339" i="2"/>
  <c r="F339" i="2" s="1"/>
  <c r="D340" i="2"/>
  <c r="F340" i="2" s="1"/>
  <c r="D341" i="2"/>
  <c r="F341" i="2" s="1"/>
  <c r="D342" i="2"/>
  <c r="F342" i="2" s="1"/>
  <c r="D343" i="2"/>
  <c r="F343" i="2" s="1"/>
  <c r="D344" i="2"/>
  <c r="F344" i="2" s="1"/>
  <c r="D345" i="2"/>
  <c r="F345" i="2" s="1"/>
  <c r="D346" i="2"/>
  <c r="F346" i="2" s="1"/>
  <c r="D347" i="2"/>
  <c r="F347" i="2" s="1"/>
  <c r="D348" i="2"/>
  <c r="F348" i="2" s="1"/>
  <c r="D349" i="2"/>
  <c r="F349" i="2" s="1"/>
  <c r="D350" i="2"/>
  <c r="F350" i="2" s="1"/>
  <c r="D351" i="2"/>
  <c r="F351" i="2" s="1"/>
  <c r="D352" i="2"/>
  <c r="F352" i="2" s="1"/>
  <c r="D353" i="2"/>
  <c r="F353" i="2" s="1"/>
  <c r="D354" i="2"/>
  <c r="F354" i="2" s="1"/>
  <c r="D355" i="2"/>
  <c r="F355" i="2" s="1"/>
  <c r="D356" i="2"/>
  <c r="F356" i="2" s="1"/>
  <c r="D357" i="2"/>
  <c r="F357" i="2" s="1"/>
  <c r="D358" i="2"/>
  <c r="F358" i="2" s="1"/>
  <c r="D359" i="2"/>
  <c r="F359" i="2" s="1"/>
  <c r="D360" i="2"/>
  <c r="F360" i="2" s="1"/>
  <c r="D361" i="2"/>
  <c r="F361" i="2" s="1"/>
  <c r="D362" i="2"/>
  <c r="F362" i="2" s="1"/>
  <c r="D363" i="2"/>
  <c r="F363" i="2" s="1"/>
  <c r="D364" i="2"/>
  <c r="F364" i="2" s="1"/>
  <c r="D365" i="2"/>
  <c r="F365" i="2" s="1"/>
  <c r="D366" i="2"/>
  <c r="F366" i="2" s="1"/>
  <c r="D367" i="2"/>
  <c r="F367" i="2" s="1"/>
  <c r="D368" i="2"/>
  <c r="F368" i="2" s="1"/>
  <c r="D369" i="2"/>
  <c r="F369" i="2" s="1"/>
  <c r="D370" i="2"/>
  <c r="F370" i="2" s="1"/>
  <c r="D371" i="2"/>
  <c r="F371" i="2" s="1"/>
  <c r="D372" i="2"/>
  <c r="F372" i="2" s="1"/>
  <c r="D373" i="2"/>
  <c r="F373" i="2" s="1"/>
  <c r="D374" i="2"/>
  <c r="F374" i="2" s="1"/>
  <c r="D375" i="2"/>
  <c r="F375" i="2" s="1"/>
  <c r="D376" i="2"/>
  <c r="F376" i="2" s="1"/>
  <c r="D377" i="2"/>
  <c r="F377" i="2" s="1"/>
  <c r="D378" i="2"/>
  <c r="F378" i="2" s="1"/>
  <c r="D379" i="2"/>
  <c r="F379" i="2" s="1"/>
  <c r="D380" i="2"/>
  <c r="F380" i="2" s="1"/>
  <c r="D381" i="2"/>
  <c r="F381" i="2" s="1"/>
  <c r="D261" i="2" l="1"/>
  <c r="F261" i="2" s="1"/>
  <c r="D262" i="2"/>
  <c r="F262" i="2" s="1"/>
  <c r="D263" i="2"/>
  <c r="F263" i="2" s="1"/>
  <c r="D264" i="2"/>
  <c r="F264" i="2" s="1"/>
  <c r="D265" i="2"/>
  <c r="F265" i="2" s="1"/>
  <c r="D266" i="2"/>
  <c r="F266" i="2" s="1"/>
  <c r="D267" i="2"/>
  <c r="F267" i="2" s="1"/>
  <c r="D268" i="2"/>
  <c r="F268" i="2" s="1"/>
  <c r="D269" i="2"/>
  <c r="F269" i="2" s="1"/>
  <c r="D270" i="2"/>
  <c r="F270" i="2" s="1"/>
  <c r="D271" i="2"/>
  <c r="F271" i="2" s="1"/>
  <c r="D272" i="2"/>
  <c r="F272" i="2" s="1"/>
  <c r="D273" i="2"/>
  <c r="F273" i="2" s="1"/>
  <c r="D274" i="2"/>
  <c r="F274" i="2" s="1"/>
  <c r="D275" i="2"/>
  <c r="F275" i="2" s="1"/>
  <c r="D276" i="2"/>
  <c r="F276" i="2" s="1"/>
  <c r="D260" i="2"/>
  <c r="F260" i="2" s="1"/>
  <c r="D186" i="2" l="1"/>
  <c r="F186" i="2" s="1"/>
  <c r="D187" i="2"/>
  <c r="F187" i="2" s="1"/>
  <c r="D188" i="2"/>
  <c r="F188" i="2" s="1"/>
  <c r="D189" i="2"/>
  <c r="F189" i="2" s="1"/>
  <c r="D190" i="2"/>
  <c r="F190" i="2" s="1"/>
  <c r="D191" i="2"/>
  <c r="F191" i="2" s="1"/>
  <c r="D192" i="2"/>
  <c r="F192" i="2" s="1"/>
  <c r="D193" i="2"/>
  <c r="F193" i="2" s="1"/>
  <c r="D194" i="2"/>
  <c r="F194" i="2" s="1"/>
  <c r="D195" i="2"/>
  <c r="F195" i="2" s="1"/>
  <c r="D196" i="2"/>
  <c r="F196" i="2" s="1"/>
  <c r="D197" i="2"/>
  <c r="F197" i="2" s="1"/>
  <c r="D198" i="2"/>
  <c r="F198" i="2" s="1"/>
  <c r="D199" i="2"/>
  <c r="F199" i="2" s="1"/>
  <c r="D200" i="2"/>
  <c r="F200" i="2" s="1"/>
  <c r="D201" i="2"/>
  <c r="F201" i="2" s="1"/>
  <c r="D202" i="2"/>
  <c r="F202" i="2" s="1"/>
  <c r="D203" i="2"/>
  <c r="F203" i="2" s="1"/>
  <c r="D204" i="2"/>
  <c r="F204" i="2" s="1"/>
  <c r="D205" i="2"/>
  <c r="F205" i="2" s="1"/>
  <c r="D206" i="2"/>
  <c r="F206" i="2" s="1"/>
  <c r="D207" i="2"/>
  <c r="F207" i="2" s="1"/>
  <c r="D208" i="2"/>
  <c r="F208" i="2" s="1"/>
  <c r="D209" i="2"/>
  <c r="F209" i="2" s="1"/>
  <c r="D210" i="2"/>
  <c r="F210" i="2" s="1"/>
  <c r="D211" i="2"/>
  <c r="F211" i="2" s="1"/>
  <c r="D212" i="2"/>
  <c r="F212" i="2" s="1"/>
  <c r="D213" i="2"/>
  <c r="F213" i="2" s="1"/>
  <c r="D214" i="2"/>
  <c r="F214" i="2" s="1"/>
  <c r="D215" i="2"/>
  <c r="F215" i="2" s="1"/>
  <c r="D216" i="2"/>
  <c r="F216" i="2" s="1"/>
  <c r="D217" i="2"/>
  <c r="F217" i="2" s="1"/>
  <c r="D218" i="2"/>
  <c r="F218" i="2" s="1"/>
  <c r="D219" i="2"/>
  <c r="F219" i="2" s="1"/>
  <c r="D220" i="2"/>
  <c r="F220" i="2" s="1"/>
  <c r="D221" i="2"/>
  <c r="F221" i="2" s="1"/>
  <c r="D222" i="2"/>
  <c r="F222" i="2" s="1"/>
  <c r="D223" i="2"/>
  <c r="F223" i="2" s="1"/>
  <c r="D224" i="2"/>
  <c r="F224" i="2" s="1"/>
  <c r="D225" i="2"/>
  <c r="F225" i="2" s="1"/>
  <c r="D226" i="2"/>
  <c r="F226" i="2" s="1"/>
  <c r="D227" i="2"/>
  <c r="F227" i="2" s="1"/>
  <c r="D228" i="2"/>
  <c r="F228" i="2" s="1"/>
  <c r="D229" i="2"/>
  <c r="F229" i="2" s="1"/>
  <c r="D230" i="2"/>
  <c r="F230" i="2" s="1"/>
  <c r="D231" i="2"/>
  <c r="F231" i="2" s="1"/>
  <c r="D232" i="2"/>
  <c r="F232" i="2" s="1"/>
  <c r="D233" i="2"/>
  <c r="F233" i="2" s="1"/>
  <c r="D234" i="2"/>
  <c r="F234" i="2" s="1"/>
  <c r="D235" i="2"/>
  <c r="F235" i="2" s="1"/>
  <c r="D236" i="2"/>
  <c r="F236" i="2" s="1"/>
  <c r="D237" i="2"/>
  <c r="F237" i="2" s="1"/>
  <c r="D238" i="2"/>
  <c r="F238" i="2" s="1"/>
  <c r="D239" i="2"/>
  <c r="F239" i="2" s="1"/>
  <c r="D240" i="2"/>
  <c r="F240" i="2" s="1"/>
  <c r="D241" i="2"/>
  <c r="F241" i="2" s="1"/>
  <c r="D242" i="2"/>
  <c r="F242" i="2" s="1"/>
  <c r="D243" i="2"/>
  <c r="F243" i="2" s="1"/>
  <c r="D244" i="2"/>
  <c r="F244" i="2" s="1"/>
  <c r="D245" i="2"/>
  <c r="F245" i="2" s="1"/>
  <c r="D246" i="2"/>
  <c r="F246" i="2" s="1"/>
  <c r="D247" i="2"/>
  <c r="F247" i="2" s="1"/>
  <c r="D248" i="2"/>
  <c r="F248" i="2" s="1"/>
  <c r="D249" i="2"/>
  <c r="F249" i="2" s="1"/>
  <c r="D250" i="2"/>
  <c r="F250" i="2" s="1"/>
  <c r="D251" i="2"/>
  <c r="F251" i="2" s="1"/>
  <c r="D252" i="2"/>
  <c r="F252" i="2" s="1"/>
  <c r="D253" i="2"/>
  <c r="F253" i="2" s="1"/>
  <c r="D254" i="2"/>
  <c r="F254" i="2" s="1"/>
  <c r="D255" i="2"/>
  <c r="F255" i="2" s="1"/>
  <c r="D256" i="2"/>
  <c r="F256" i="2" s="1"/>
  <c r="D257" i="2"/>
  <c r="F257" i="2" s="1"/>
  <c r="D258" i="2"/>
  <c r="F258" i="2" s="1"/>
  <c r="D259" i="2"/>
  <c r="F259" i="2" s="1"/>
  <c r="D179" i="2"/>
  <c r="F179" i="2" s="1"/>
  <c r="D180" i="2"/>
  <c r="F180" i="2" s="1"/>
  <c r="D181" i="2"/>
  <c r="F181" i="2" s="1"/>
  <c r="D182" i="2"/>
  <c r="F182" i="2" s="1"/>
  <c r="D183" i="2"/>
  <c r="F183" i="2" s="1"/>
  <c r="D184" i="2"/>
  <c r="F184" i="2" s="1"/>
  <c r="D185" i="2"/>
  <c r="F185" i="2" s="1"/>
  <c r="D79" i="2" l="1"/>
  <c r="F79" i="2" s="1"/>
  <c r="D82" i="2"/>
  <c r="F82" i="2" s="1"/>
  <c r="D87" i="2"/>
  <c r="F87" i="2" s="1"/>
  <c r="D91" i="2"/>
  <c r="F91" i="2" s="1"/>
  <c r="D96" i="2"/>
  <c r="F96" i="2" s="1"/>
  <c r="D97" i="2"/>
  <c r="F97" i="2" s="1"/>
  <c r="D100" i="2"/>
  <c r="F100" i="2" s="1"/>
  <c r="D105" i="2"/>
  <c r="F105" i="2" s="1"/>
  <c r="D114" i="2"/>
  <c r="F114" i="2" s="1"/>
  <c r="D119" i="2"/>
  <c r="F119" i="2" s="1"/>
  <c r="D123" i="2"/>
  <c r="F123" i="2" s="1"/>
  <c r="D128" i="2"/>
  <c r="F128" i="2" s="1"/>
  <c r="D132" i="2"/>
  <c r="F132" i="2" s="1"/>
  <c r="D137" i="2"/>
  <c r="F137" i="2" s="1"/>
  <c r="D146" i="2"/>
  <c r="F146" i="2"/>
  <c r="D151" i="2"/>
  <c r="F151" i="2" s="1"/>
  <c r="D155" i="2"/>
  <c r="F155" i="2" s="1"/>
  <c r="D160" i="2"/>
  <c r="F160" i="2" s="1"/>
  <c r="D164" i="2"/>
  <c r="F164" i="2" s="1"/>
  <c r="D169" i="2"/>
  <c r="F169" i="2" s="1"/>
  <c r="D178" i="2"/>
  <c r="F178" i="2" s="1"/>
  <c r="D80" i="2"/>
  <c r="F80" i="2" s="1"/>
  <c r="D81" i="2"/>
  <c r="F81" i="2" s="1"/>
  <c r="D83" i="2"/>
  <c r="F83" i="2" s="1"/>
  <c r="D84" i="2"/>
  <c r="F84" i="2" s="1"/>
  <c r="D85" i="2"/>
  <c r="F85" i="2" s="1"/>
  <c r="D86" i="2"/>
  <c r="F86" i="2" s="1"/>
  <c r="D88" i="2"/>
  <c r="F88" i="2" s="1"/>
  <c r="D89" i="2"/>
  <c r="F89" i="2" s="1"/>
  <c r="D90" i="2"/>
  <c r="F90" i="2" s="1"/>
  <c r="D92" i="2"/>
  <c r="F92" i="2" s="1"/>
  <c r="D93" i="2"/>
  <c r="F93" i="2" s="1"/>
  <c r="D94" i="2"/>
  <c r="F94" i="2" s="1"/>
  <c r="D95" i="2"/>
  <c r="F95" i="2" s="1"/>
  <c r="D98" i="2"/>
  <c r="F98" i="2" s="1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5" i="2"/>
  <c r="F115" i="2" s="1"/>
  <c r="D116" i="2"/>
  <c r="F116" i="2" s="1"/>
  <c r="D117" i="2"/>
  <c r="F117" i="2" s="1"/>
  <c r="D118" i="2"/>
  <c r="F118" i="2" s="1"/>
  <c r="D120" i="2"/>
  <c r="F120" i="2" s="1"/>
  <c r="D121" i="2"/>
  <c r="F121" i="2" s="1"/>
  <c r="D122" i="2"/>
  <c r="F122" i="2" s="1"/>
  <c r="D124" i="2"/>
  <c r="F124" i="2" s="1"/>
  <c r="D125" i="2"/>
  <c r="F125" i="2" s="1"/>
  <c r="D126" i="2"/>
  <c r="F126" i="2" s="1"/>
  <c r="D127" i="2"/>
  <c r="F127" i="2" s="1"/>
  <c r="D129" i="2"/>
  <c r="F129" i="2" s="1"/>
  <c r="D130" i="2"/>
  <c r="F130" i="2" s="1"/>
  <c r="D131" i="2"/>
  <c r="F131" i="2" s="1"/>
  <c r="D133" i="2"/>
  <c r="F133" i="2" s="1"/>
  <c r="D134" i="2"/>
  <c r="F134" i="2" s="1"/>
  <c r="D135" i="2"/>
  <c r="F135" i="2" s="1"/>
  <c r="D136" i="2"/>
  <c r="F136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7" i="2"/>
  <c r="F147" i="2" s="1"/>
  <c r="D148" i="2"/>
  <c r="F148" i="2" s="1"/>
  <c r="D149" i="2"/>
  <c r="F149" i="2" s="1"/>
  <c r="D150" i="2"/>
  <c r="F150" i="2" s="1"/>
  <c r="D152" i="2"/>
  <c r="F152" i="2" s="1"/>
  <c r="D153" i="2"/>
  <c r="F153" i="2" s="1"/>
  <c r="D154" i="2"/>
  <c r="F154" i="2" s="1"/>
  <c r="D156" i="2"/>
  <c r="F156" i="2" s="1"/>
  <c r="D157" i="2"/>
  <c r="F157" i="2" s="1"/>
  <c r="D158" i="2"/>
  <c r="F158" i="2" s="1"/>
  <c r="D159" i="2"/>
  <c r="F159" i="2" s="1"/>
  <c r="D161" i="2"/>
  <c r="F161" i="2" s="1"/>
  <c r="D162" i="2"/>
  <c r="F162" i="2" s="1"/>
  <c r="D163" i="2"/>
  <c r="F163" i="2" s="1"/>
  <c r="D165" i="2"/>
  <c r="F165" i="2" s="1"/>
  <c r="D166" i="2"/>
  <c r="F166" i="2" s="1"/>
  <c r="D167" i="2"/>
  <c r="F167" i="2" s="1"/>
  <c r="D168" i="2"/>
  <c r="F168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75" i="2" l="1"/>
  <c r="F75" i="2" s="1"/>
  <c r="D76" i="2"/>
  <c r="F76" i="2" s="1"/>
  <c r="D77" i="2"/>
  <c r="F77" i="2" s="1"/>
  <c r="D78" i="2"/>
  <c r="F78" i="2" s="1"/>
  <c r="D74" i="2"/>
  <c r="D72" i="2" l="1"/>
  <c r="F72" i="2" s="1"/>
  <c r="D73" i="2"/>
  <c r="F73" i="2" s="1"/>
  <c r="F74" i="2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4" i="2"/>
  <c r="F34" i="2" s="1"/>
  <c r="D35" i="2"/>
  <c r="F35" i="2" s="1"/>
  <c r="D36" i="2"/>
  <c r="F36" i="2" s="1"/>
  <c r="D37" i="2"/>
  <c r="F37" i="2" s="1"/>
  <c r="D38" i="2"/>
  <c r="F38" i="2" s="1"/>
  <c r="D39" i="2"/>
  <c r="F39" i="2" s="1"/>
  <c r="D40" i="2"/>
  <c r="F40" i="2" s="1"/>
  <c r="D41" i="2"/>
  <c r="F41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2" i="2"/>
  <c r="F2" i="2" s="1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<sst xmlns="http://schemas.openxmlformats.org/spreadsheetml/2006/main" count="25" uniqueCount="22">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</sst>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</cellXfs>
  <cellStyles count="2">
    <cellStyle name="百分比" xfId="1" builtinId="5"/>
    <cellStyle name="常规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623" tableType="queryTable" totalsRowShown="0">
  <autoFilter ref="A1:H623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5" sqref="G5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1.3162351548188764</v>
      </c>
      <c r="E5" s="2">
        <f>C5/D5</f>
        <v>37987.133087081515</v>
      </c>
      <c r="F5">
        <v>240000</v>
      </c>
      <c r="G5">
        <f t="shared" si="1"/>
        <v>236513.66315446136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389"/>
  <sheetViews>
    <sheetView tabSelected="1" workbookViewId="0">
      <pane ySplit="1" topLeftCell="A2" activePane="bottomLeft" state="frozen"/>
      <selection pane="bottomLeft" activeCell="F1" sqref="A1:F1048576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1.2946049411459515</v>
      </c>
      <c r="D382" s="5">
        <f t="shared" ref="D382:D389" si="19">B382*C382</f>
        <v>257013.42677379027</v>
      </c>
      <c r="E382">
        <v>190000</v>
      </c>
      <c r="F382" s="4">
        <f t="shared" si="18"/>
        <v>0.35270224617784351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1.3203057878160793</v>
      </c>
      <c r="D383" s="5">
        <f t="shared" si="19"/>
        <v>262115.7266830045</v>
      </c>
      <c r="E383">
        <v>190000</v>
      </c>
      <c r="F383" s="4">
        <f t="shared" si="18"/>
        <v>0.37955645622633943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1.3162351548188764</v>
      </c>
      <c r="D384" s="5">
        <f t="shared" si="19"/>
        <v>261307.59803889203</v>
      </c>
      <c r="E384">
        <v>190000</v>
      </c>
      <c r="F384" s="4">
        <f t="shared" si="18"/>
        <v>0.37530314757311595</v>
      </c>
    </row>
    <row r="385" spans="1:6" x14ac:dyDescent="0.5">
      <c r="A385" s="3">
        <v>44011</v>
      </c>
      <c r="B385" s="2">
        <v>236513.66315446136</v>
      </c>
      <c r="C385" s="6">
        <f>VLOOKUP(A385,fund_value_simple[],8,FALSE)</f>
        <v>1.3072472371008839</v>
      </c>
      <c r="D385" s="5">
        <f t="shared" si="19"/>
        <v>309181.83269527875</v>
      </c>
      <c r="E385">
        <v>240000</v>
      </c>
      <c r="F385" s="4">
        <f t="shared" si="18"/>
        <v>0.28825763623032813</v>
      </c>
    </row>
    <row r="386" spans="1:6" x14ac:dyDescent="0.5">
      <c r="A386" s="3">
        <v>44012</v>
      </c>
      <c r="B386" s="2">
        <v>236513.66315446136</v>
      </c>
      <c r="C386" s="6">
        <f>VLOOKUP(A386,fund_value_simple[],8,FALSE)</f>
        <v>1.3447786544680058</v>
      </c>
      <c r="D386" s="5">
        <f t="shared" si="19"/>
        <v>318058.5257001557</v>
      </c>
      <c r="E386">
        <v>240000</v>
      </c>
      <c r="F386" s="4">
        <f t="shared" si="18"/>
        <v>0.32524385708398212</v>
      </c>
    </row>
    <row r="387" spans="1:6" x14ac:dyDescent="0.5">
      <c r="A387" s="3">
        <v>44013</v>
      </c>
      <c r="B387" s="2">
        <v>236513.66315446136</v>
      </c>
      <c r="C387" s="6">
        <f>VLOOKUP(A387,fund_value_simple[],8,FALSE)</f>
        <v>1.4021831666660913</v>
      </c>
      <c r="D387" s="5">
        <f t="shared" si="19"/>
        <v>331635.47716171987</v>
      </c>
      <c r="E387">
        <v>240000</v>
      </c>
      <c r="F387" s="4">
        <f t="shared" si="18"/>
        <v>0.38181448817383279</v>
      </c>
    </row>
    <row r="388" spans="1:6" x14ac:dyDescent="0.5">
      <c r="A388" s="3">
        <v>44014</v>
      </c>
      <c r="B388" s="2">
        <v>236513.66315446136</v>
      </c>
      <c r="C388" s="6">
        <f>VLOOKUP(A388,fund_value_simple[],8,FALSE)</f>
        <v>1.4107390718423658</v>
      </c>
      <c r="D388" s="5">
        <f t="shared" si="19"/>
        <v>333659.06563656277</v>
      </c>
      <c r="E388">
        <v>240000</v>
      </c>
      <c r="F388" s="4">
        <f t="shared" si="18"/>
        <v>0.39024610681901151</v>
      </c>
    </row>
    <row r="389" spans="1:6" x14ac:dyDescent="0.5">
      <c r="A389" s="3">
        <v>44015</v>
      </c>
      <c r="B389" s="2">
        <v>236513.66315446136</v>
      </c>
      <c r="C389" s="6">
        <f>VLOOKUP(A389,fund_value_simple[],8,FALSE)</f>
        <v>1.4309930210249628</v>
      </c>
      <c r="D389" s="5">
        <f t="shared" si="19"/>
        <v>338449.40135108313</v>
      </c>
      <c r="E389">
        <v>240000</v>
      </c>
      <c r="F389" s="4">
        <f t="shared" si="18"/>
        <v>0.41020583896284635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623"/>
  <sheetViews>
    <sheetView topLeftCell="A2" workbookViewId="0">
      <selection activeCell="H618" sqref="H618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247511.79999999996</v>
      </c>
      <c r="C40">
        <v>-2602.59</v>
      </c>
      <c r="D40">
        <v>35000</v>
      </c>
      <c r="E40">
        <v>244909.20999999996</v>
      </c>
      <c r="F40">
        <v>33287.834067056472</v>
      </c>
      <c r="G40">
        <v>231711.59123324088</v>
      </c>
      <c r="H40">
        <v>1.0569570934993682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234879.7</v>
      </c>
      <c r="C43">
        <v>-2602.59</v>
      </c>
      <c r="D43">
        <v>0</v>
      </c>
      <c r="E43">
        <v>232277.11000000002</v>
      </c>
      <c r="F43">
        <v>0</v>
      </c>
      <c r="G43">
        <v>231711.59123324088</v>
      </c>
      <c r="H43">
        <v>1.0024406149202518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249768.39999999997</v>
      </c>
      <c r="C47">
        <v>-2774.2400000000016</v>
      </c>
      <c r="D47">
        <v>0</v>
      </c>
      <c r="E47">
        <v>246994.15999999997</v>
      </c>
      <c r="F47">
        <v>0</v>
      </c>
      <c r="G47">
        <v>252724.78850543816</v>
      </c>
      <c r="H47">
        <v>0.97732462834640033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258642.99999999997</v>
      </c>
      <c r="C54">
        <v>-2774.2400000000016</v>
      </c>
      <c r="D54">
        <v>0</v>
      </c>
      <c r="E54">
        <v>255868.75999999998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262810.10000000003</v>
      </c>
      <c r="C60">
        <v>17225.759999999998</v>
      </c>
      <c r="D60">
        <v>20000</v>
      </c>
      <c r="E60">
        <v>280035.86000000004</v>
      </c>
      <c r="F60">
        <v>19600.8875535511</v>
      </c>
      <c r="G60">
        <v>272325.67605898925</v>
      </c>
      <c r="H60">
        <v>1.0283123650057171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298411.39999999997</v>
      </c>
      <c r="C68">
        <v>-2776.0300000000043</v>
      </c>
      <c r="D68">
        <v>0</v>
      </c>
      <c r="E68">
        <v>295635.36999999994</v>
      </c>
      <c r="F68">
        <v>0</v>
      </c>
      <c r="G68">
        <v>291968.37678308878</v>
      </c>
      <c r="H68">
        <v>1.0125595561317775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286049.40000000002</v>
      </c>
      <c r="C71">
        <v>-2776.0300000000043</v>
      </c>
      <c r="D71">
        <v>0</v>
      </c>
      <c r="E71">
        <v>283273.37</v>
      </c>
      <c r="F71">
        <v>0</v>
      </c>
      <c r="G71">
        <v>291968.37678308878</v>
      </c>
      <c r="H71">
        <v>0.97021935430511186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288703.10000000003</v>
      </c>
      <c r="C75">
        <v>-2776.0300000000043</v>
      </c>
      <c r="D75">
        <v>0</v>
      </c>
      <c r="E75">
        <v>285927.07</v>
      </c>
      <c r="F75">
        <v>0</v>
      </c>
      <c r="G75">
        <v>291968.37678308878</v>
      </c>
      <c r="H75">
        <v>0.97930835233030378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317833.2</v>
      </c>
      <c r="C86">
        <v>-2567.970000000003</v>
      </c>
      <c r="D86">
        <v>0</v>
      </c>
      <c r="E86">
        <v>315265.23</v>
      </c>
      <c r="F86">
        <v>0</v>
      </c>
      <c r="G86">
        <v>333197.9080959757</v>
      </c>
      <c r="H86">
        <v>0.9461800999938742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</v>
      </c>
      <c r="C105">
        <v>-2770.8300000000036</v>
      </c>
      <c r="D105">
        <v>0</v>
      </c>
      <c r="E105">
        <v>342716.26999999996</v>
      </c>
      <c r="F105">
        <v>0</v>
      </c>
      <c r="G105">
        <v>353624.99619695824</v>
      </c>
      <c r="H105">
        <v>0.96915171067012906</v>
      </c>
    </row>
    <row r="106" spans="1:8" x14ac:dyDescent="0.5">
      <c r="A106" s="1">
        <v>43238</v>
      </c>
      <c r="B106">
        <v>349069.69999999995</v>
      </c>
      <c r="C106">
        <v>-2770.8300000000036</v>
      </c>
      <c r="D106">
        <v>0</v>
      </c>
      <c r="E106">
        <v>346298.86999999994</v>
      </c>
      <c r="F106">
        <v>0</v>
      </c>
      <c r="G106">
        <v>353624.99619695824</v>
      </c>
      <c r="H106">
        <v>0.97928278182892403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1521070.4000000001</v>
      </c>
      <c r="C616">
        <v>4538.5200000001532</v>
      </c>
      <c r="D616">
        <v>0</v>
      </c>
      <c r="E616">
        <v>1525608.9200000004</v>
      </c>
      <c r="F616">
        <v>0</v>
      </c>
      <c r="G616">
        <v>1178435.8853516888</v>
      </c>
      <c r="H616">
        <v>1.2946049411459515</v>
      </c>
    </row>
    <row r="617" spans="1:8" x14ac:dyDescent="0.5">
      <c r="A617" s="1">
        <v>44005</v>
      </c>
      <c r="B617">
        <v>1551357.2000000002</v>
      </c>
      <c r="C617">
        <v>4538.5200000001532</v>
      </c>
      <c r="D617">
        <v>0</v>
      </c>
      <c r="E617">
        <v>1555895.7200000004</v>
      </c>
      <c r="F617">
        <v>0</v>
      </c>
      <c r="G617">
        <v>1178435.8853516888</v>
      </c>
      <c r="H617">
        <v>1.3203057878160793</v>
      </c>
    </row>
    <row r="618" spans="1:8" x14ac:dyDescent="0.5">
      <c r="A618" s="1">
        <v>44006</v>
      </c>
      <c r="B618">
        <v>1089174.5999999999</v>
      </c>
      <c r="C618">
        <v>461924.14000000013</v>
      </c>
      <c r="D618">
        <v>0</v>
      </c>
      <c r="E618">
        <v>1551098.74</v>
      </c>
      <c r="F618">
        <v>0</v>
      </c>
      <c r="G618">
        <v>1178435.8853516888</v>
      </c>
      <c r="H618">
        <v>1.3162351548188764</v>
      </c>
    </row>
    <row r="619" spans="1:8" x14ac:dyDescent="0.5">
      <c r="A619" s="1">
        <v>44011</v>
      </c>
      <c r="B619">
        <v>1197091.2</v>
      </c>
      <c r="C619">
        <v>393074.43000000011</v>
      </c>
      <c r="D619">
        <v>50000</v>
      </c>
      <c r="E619">
        <v>1590165.6300000001</v>
      </c>
      <c r="F619">
        <v>37987.133087081515</v>
      </c>
      <c r="G619">
        <v>1216423.0184387704</v>
      </c>
      <c r="H619">
        <v>1.3072472371008839</v>
      </c>
    </row>
    <row r="620" spans="1:8" x14ac:dyDescent="0.5">
      <c r="A620" s="1">
        <v>44012</v>
      </c>
      <c r="B620">
        <v>1635727.7999999998</v>
      </c>
      <c r="C620">
        <v>91.910000000090804</v>
      </c>
      <c r="D620">
        <v>0</v>
      </c>
      <c r="E620">
        <v>1635819.71</v>
      </c>
      <c r="F620">
        <v>0</v>
      </c>
      <c r="G620">
        <v>1216423.0184387704</v>
      </c>
      <c r="H620">
        <v>1.3447786544680058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1216423.0184387704</v>
      </c>
      <c r="H621">
        <v>1.4021831666660913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1216423.0184387704</v>
      </c>
      <c r="H622">
        <v>1.4107390718423658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1216423.0184387704</v>
      </c>
      <c r="H623">
        <v>1.4309930210249628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交易记录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2020-07-03T15:53:49Z</dcterms:modified>
</cp:coreProperties>
</file>