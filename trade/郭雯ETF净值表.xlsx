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001"/>
  <workbookPr filterPrivacy="1"/>
  <xr:revisionPtr revIDLastSave="86" documentId="114_{88A210E7-0F58-4476-93EF-FC99B8818E22}" xr6:coauthVersionLast="45" xr6:coauthVersionMax="45" xr10:uidLastSave="{1D1F7491-C415-44F5-B0A9-2BA3A5001169}"/>
  <bookViews>
    <workbookView xWindow="-96" yWindow="-96" windowWidth="23232" windowHeight="12552" activeTab="1" xr2:uid="{00000000-000D-0000-FFFF-FFFF00000000}"/>
  </bookViews>
  <sheets>
    <sheet name="交易记录" sheetId="1" r:id="rId1"/>
    <sheet name="净值记录" sheetId="2" r:id="rId2"/>
    <sheet name="RawData" sheetId="4" r:id="rId3"/>
  </sheets>
  <definedNames>
    <definedName name="_xlnm._FilterDatabase" localSheetId="1" hidden="1">净值记录!$A$1:$F$178</definedName>
    <definedName name="ExternalData_1" localSheetId="2" hidden="1">RawData!$A$1:$H$629</definedName>
    <definedName name="_xlnm.Print_Titles" localSheetId="1">净值记录!$1:$1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384" i="2" l="1"/>
  <c r="C390" i="2"/>
  <c r="D390" i="2"/>
  <c r="F390" i="2"/>
  <c r="C391" i="2"/>
  <c r="D391" i="2"/>
  <c r="F391" i="2"/>
  <c r="C392" i="2"/>
  <c r="D392" i="2"/>
  <c r="F392" i="2"/>
  <c r="C393" i="2"/>
  <c r="D393" i="2"/>
  <c r="F393" i="2"/>
  <c r="C394" i="2"/>
  <c r="D394" i="2"/>
  <c r="F394" i="2"/>
  <c r="C395" i="2"/>
  <c r="D395" i="2"/>
  <c r="F395" i="2"/>
  <c r="C382" i="2"/>
  <c r="D382" i="2"/>
  <c r="F382" i="2"/>
  <c r="C383" i="2"/>
  <c r="D383" i="2"/>
  <c r="F383" i="2"/>
  <c r="C384" i="2"/>
  <c r="D384" i="2"/>
  <c r="C385" i="2"/>
  <c r="D385" i="2"/>
  <c r="F385" i="2"/>
  <c r="C386" i="2"/>
  <c r="D386" i="2"/>
  <c r="F386" i="2"/>
  <c r="C387" i="2"/>
  <c r="D387" i="2"/>
  <c r="F387" i="2"/>
  <c r="C388" i="2"/>
  <c r="D388" i="2"/>
  <c r="F388" i="2"/>
  <c r="C389" i="2"/>
  <c r="D389" i="2"/>
  <c r="F389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2" i="2"/>
  <c r="G4" i="1"/>
  <c r="G5" i="1"/>
  <c r="E5" i="1"/>
  <c r="E3" i="1"/>
  <c r="E4" i="1"/>
  <c r="E2" i="1"/>
  <c r="D277" i="2"/>
  <c r="F277" i="2"/>
  <c r="D278" i="2"/>
  <c r="F278" i="2"/>
  <c r="D279" i="2"/>
  <c r="F279" i="2"/>
  <c r="D280" i="2"/>
  <c r="F280" i="2"/>
  <c r="D281" i="2"/>
  <c r="F281" i="2"/>
  <c r="D282" i="2"/>
  <c r="F282" i="2"/>
  <c r="D283" i="2"/>
  <c r="F283" i="2"/>
  <c r="D284" i="2"/>
  <c r="F284" i="2"/>
  <c r="D285" i="2"/>
  <c r="F285" i="2"/>
  <c r="D286" i="2"/>
  <c r="F286" i="2"/>
  <c r="D287" i="2"/>
  <c r="F287" i="2"/>
  <c r="D288" i="2"/>
  <c r="F288" i="2"/>
  <c r="D289" i="2"/>
  <c r="F289" i="2"/>
  <c r="D290" i="2"/>
  <c r="F290" i="2"/>
  <c r="D291" i="2"/>
  <c r="F291" i="2"/>
  <c r="D292" i="2"/>
  <c r="F292" i="2"/>
  <c r="D293" i="2"/>
  <c r="F293" i="2"/>
  <c r="D294" i="2"/>
  <c r="F294" i="2"/>
  <c r="D295" i="2"/>
  <c r="F295" i="2"/>
  <c r="D296" i="2"/>
  <c r="F296" i="2"/>
  <c r="D297" i="2"/>
  <c r="F297" i="2"/>
  <c r="D298" i="2"/>
  <c r="F298" i="2"/>
  <c r="D299" i="2"/>
  <c r="F299" i="2"/>
  <c r="D300" i="2"/>
  <c r="F300" i="2"/>
  <c r="D301" i="2"/>
  <c r="F301" i="2"/>
  <c r="D302" i="2"/>
  <c r="F302" i="2"/>
  <c r="D303" i="2"/>
  <c r="F303" i="2"/>
  <c r="D304" i="2"/>
  <c r="F304" i="2"/>
  <c r="D305" i="2"/>
  <c r="F305" i="2"/>
  <c r="D306" i="2"/>
  <c r="F306" i="2"/>
  <c r="D307" i="2"/>
  <c r="F307" i="2"/>
  <c r="D308" i="2"/>
  <c r="F308" i="2"/>
  <c r="D309" i="2"/>
  <c r="F309" i="2"/>
  <c r="D310" i="2"/>
  <c r="F310" i="2"/>
  <c r="D311" i="2"/>
  <c r="F311" i="2"/>
  <c r="D312" i="2"/>
  <c r="F312" i="2"/>
  <c r="D313" i="2"/>
  <c r="F313" i="2"/>
  <c r="D314" i="2"/>
  <c r="F314" i="2"/>
  <c r="D315" i="2"/>
  <c r="F315" i="2"/>
  <c r="D316" i="2"/>
  <c r="F316" i="2"/>
  <c r="D317" i="2"/>
  <c r="F317" i="2"/>
  <c r="D318" i="2"/>
  <c r="F318" i="2"/>
  <c r="D319" i="2"/>
  <c r="F319" i="2"/>
  <c r="D320" i="2"/>
  <c r="F320" i="2"/>
  <c r="D321" i="2"/>
  <c r="F321" i="2"/>
  <c r="D322" i="2"/>
  <c r="F322" i="2"/>
  <c r="D323" i="2"/>
  <c r="F323" i="2"/>
  <c r="D324" i="2"/>
  <c r="F324" i="2"/>
  <c r="D325" i="2"/>
  <c r="F325" i="2"/>
  <c r="D326" i="2"/>
  <c r="F326" i="2"/>
  <c r="D327" i="2"/>
  <c r="F327" i="2"/>
  <c r="D328" i="2"/>
  <c r="F328" i="2"/>
  <c r="D329" i="2"/>
  <c r="F329" i="2"/>
  <c r="D330" i="2"/>
  <c r="F330" i="2"/>
  <c r="D331" i="2"/>
  <c r="F331" i="2"/>
  <c r="D332" i="2"/>
  <c r="F332" i="2"/>
  <c r="D333" i="2"/>
  <c r="F333" i="2"/>
  <c r="D334" i="2"/>
  <c r="F334" i="2"/>
  <c r="D335" i="2"/>
  <c r="F335" i="2"/>
  <c r="D336" i="2"/>
  <c r="F336" i="2"/>
  <c r="D337" i="2"/>
  <c r="F337" i="2"/>
  <c r="D338" i="2"/>
  <c r="F338" i="2"/>
  <c r="D339" i="2"/>
  <c r="F339" i="2"/>
  <c r="D340" i="2"/>
  <c r="F340" i="2"/>
  <c r="D341" i="2"/>
  <c r="F341" i="2"/>
  <c r="D342" i="2"/>
  <c r="F342" i="2"/>
  <c r="D343" i="2"/>
  <c r="F343" i="2"/>
  <c r="D344" i="2"/>
  <c r="F344" i="2"/>
  <c r="D345" i="2"/>
  <c r="F345" i="2"/>
  <c r="D346" i="2"/>
  <c r="F346" i="2"/>
  <c r="D347" i="2"/>
  <c r="F347" i="2"/>
  <c r="D348" i="2"/>
  <c r="F348" i="2"/>
  <c r="D349" i="2"/>
  <c r="F349" i="2"/>
  <c r="D350" i="2"/>
  <c r="F350" i="2"/>
  <c r="D351" i="2"/>
  <c r="F351" i="2"/>
  <c r="D352" i="2"/>
  <c r="F352" i="2"/>
  <c r="D353" i="2"/>
  <c r="F353" i="2"/>
  <c r="D354" i="2"/>
  <c r="F354" i="2"/>
  <c r="D355" i="2"/>
  <c r="F355" i="2"/>
  <c r="D356" i="2"/>
  <c r="F356" i="2"/>
  <c r="D357" i="2"/>
  <c r="F357" i="2"/>
  <c r="D358" i="2"/>
  <c r="F358" i="2"/>
  <c r="D359" i="2"/>
  <c r="F359" i="2"/>
  <c r="D360" i="2"/>
  <c r="F360" i="2"/>
  <c r="D361" i="2"/>
  <c r="F361" i="2"/>
  <c r="D362" i="2"/>
  <c r="F362" i="2"/>
  <c r="D363" i="2"/>
  <c r="F363" i="2"/>
  <c r="D364" i="2"/>
  <c r="F364" i="2"/>
  <c r="D365" i="2"/>
  <c r="F365" i="2"/>
  <c r="D366" i="2"/>
  <c r="F366" i="2"/>
  <c r="D367" i="2"/>
  <c r="F367" i="2"/>
  <c r="D368" i="2"/>
  <c r="F368" i="2"/>
  <c r="D369" i="2"/>
  <c r="F369" i="2"/>
  <c r="D370" i="2"/>
  <c r="F370" i="2"/>
  <c r="D371" i="2"/>
  <c r="F371" i="2"/>
  <c r="D372" i="2"/>
  <c r="F372" i="2"/>
  <c r="D373" i="2"/>
  <c r="F373" i="2"/>
  <c r="D374" i="2"/>
  <c r="F374" i="2"/>
  <c r="D375" i="2"/>
  <c r="F375" i="2"/>
  <c r="D376" i="2"/>
  <c r="F376" i="2"/>
  <c r="D377" i="2"/>
  <c r="F377" i="2"/>
  <c r="D378" i="2"/>
  <c r="F378" i="2"/>
  <c r="D379" i="2"/>
  <c r="F379" i="2"/>
  <c r="D380" i="2"/>
  <c r="F380" i="2"/>
  <c r="D381" i="2"/>
  <c r="F381" i="2"/>
  <c r="D261" i="2"/>
  <c r="F261" i="2"/>
  <c r="D262" i="2"/>
  <c r="F262" i="2"/>
  <c r="D263" i="2"/>
  <c r="F263" i="2"/>
  <c r="D264" i="2"/>
  <c r="F264" i="2"/>
  <c r="D265" i="2"/>
  <c r="F265" i="2"/>
  <c r="D266" i="2"/>
  <c r="F266" i="2"/>
  <c r="D267" i="2"/>
  <c r="F267" i="2"/>
  <c r="D268" i="2"/>
  <c r="F268" i="2"/>
  <c r="D269" i="2"/>
  <c r="F269" i="2"/>
  <c r="D270" i="2"/>
  <c r="F270" i="2"/>
  <c r="D271" i="2"/>
  <c r="F271" i="2"/>
  <c r="D272" i="2"/>
  <c r="F272" i="2"/>
  <c r="D273" i="2"/>
  <c r="F273" i="2"/>
  <c r="D274" i="2"/>
  <c r="F274" i="2"/>
  <c r="D275" i="2"/>
  <c r="F275" i="2"/>
  <c r="D276" i="2"/>
  <c r="F276" i="2"/>
  <c r="D260" i="2"/>
  <c r="F260" i="2"/>
  <c r="D186" i="2"/>
  <c r="F186" i="2"/>
  <c r="D187" i="2"/>
  <c r="F187" i="2"/>
  <c r="D188" i="2"/>
  <c r="F188" i="2"/>
  <c r="D189" i="2"/>
  <c r="F189" i="2"/>
  <c r="D190" i="2"/>
  <c r="F190" i="2"/>
  <c r="D191" i="2"/>
  <c r="F191" i="2"/>
  <c r="D192" i="2"/>
  <c r="F192" i="2"/>
  <c r="D193" i="2"/>
  <c r="F193" i="2"/>
  <c r="D194" i="2"/>
  <c r="F194" i="2"/>
  <c r="D195" i="2"/>
  <c r="F195" i="2"/>
  <c r="D196" i="2"/>
  <c r="F196" i="2"/>
  <c r="D197" i="2"/>
  <c r="F197" i="2"/>
  <c r="D198" i="2"/>
  <c r="F198" i="2"/>
  <c r="D199" i="2"/>
  <c r="F199" i="2"/>
  <c r="D200" i="2"/>
  <c r="F200" i="2"/>
  <c r="D201" i="2"/>
  <c r="F201" i="2"/>
  <c r="D202" i="2"/>
  <c r="F202" i="2"/>
  <c r="D203" i="2"/>
  <c r="F203" i="2"/>
  <c r="D204" i="2"/>
  <c r="F204" i="2"/>
  <c r="D205" i="2"/>
  <c r="F205" i="2"/>
  <c r="D206" i="2"/>
  <c r="F206" i="2"/>
  <c r="D207" i="2"/>
  <c r="F207" i="2"/>
  <c r="D208" i="2"/>
  <c r="F208" i="2"/>
  <c r="D209" i="2"/>
  <c r="F209" i="2"/>
  <c r="D210" i="2"/>
  <c r="F210" i="2"/>
  <c r="D211" i="2"/>
  <c r="F211" i="2"/>
  <c r="D212" i="2"/>
  <c r="F212" i="2"/>
  <c r="D213" i="2"/>
  <c r="F213" i="2"/>
  <c r="D214" i="2"/>
  <c r="F214" i="2"/>
  <c r="D215" i="2"/>
  <c r="F215" i="2"/>
  <c r="D216" i="2"/>
  <c r="F216" i="2"/>
  <c r="D217" i="2"/>
  <c r="F217" i="2"/>
  <c r="D218" i="2"/>
  <c r="F218" i="2"/>
  <c r="D219" i="2"/>
  <c r="F219" i="2"/>
  <c r="D220" i="2"/>
  <c r="F220" i="2"/>
  <c r="D221" i="2"/>
  <c r="F221" i="2"/>
  <c r="D222" i="2"/>
  <c r="F222" i="2"/>
  <c r="D223" i="2"/>
  <c r="F223" i="2"/>
  <c r="D224" i="2"/>
  <c r="F224" i="2"/>
  <c r="D225" i="2"/>
  <c r="F225" i="2"/>
  <c r="D226" i="2"/>
  <c r="F226" i="2"/>
  <c r="D227" i="2"/>
  <c r="F227" i="2"/>
  <c r="D228" i="2"/>
  <c r="F228" i="2"/>
  <c r="D229" i="2"/>
  <c r="F229" i="2"/>
  <c r="D230" i="2"/>
  <c r="F230" i="2"/>
  <c r="D231" i="2"/>
  <c r="F231" i="2"/>
  <c r="D232" i="2"/>
  <c r="F232" i="2"/>
  <c r="D233" i="2"/>
  <c r="F233" i="2"/>
  <c r="D234" i="2"/>
  <c r="F234" i="2"/>
  <c r="D235" i="2"/>
  <c r="F235" i="2"/>
  <c r="D236" i="2"/>
  <c r="F236" i="2"/>
  <c r="D237" i="2"/>
  <c r="F237" i="2"/>
  <c r="D238" i="2"/>
  <c r="F238" i="2"/>
  <c r="D239" i="2"/>
  <c r="F239" i="2"/>
  <c r="D240" i="2"/>
  <c r="F240" i="2"/>
  <c r="D241" i="2"/>
  <c r="F241" i="2"/>
  <c r="D242" i="2"/>
  <c r="F242" i="2"/>
  <c r="D243" i="2"/>
  <c r="F243" i="2"/>
  <c r="D244" i="2"/>
  <c r="F244" i="2"/>
  <c r="D245" i="2"/>
  <c r="F245" i="2"/>
  <c r="D246" i="2"/>
  <c r="F246" i="2"/>
  <c r="D247" i="2"/>
  <c r="F247" i="2"/>
  <c r="D248" i="2"/>
  <c r="F248" i="2"/>
  <c r="D249" i="2"/>
  <c r="F249" i="2"/>
  <c r="D250" i="2"/>
  <c r="F250" i="2"/>
  <c r="D251" i="2"/>
  <c r="F251" i="2"/>
  <c r="D252" i="2"/>
  <c r="F252" i="2"/>
  <c r="D253" i="2"/>
  <c r="F253" i="2"/>
  <c r="D254" i="2"/>
  <c r="F254" i="2"/>
  <c r="D255" i="2"/>
  <c r="F255" i="2"/>
  <c r="D256" i="2"/>
  <c r="F256" i="2"/>
  <c r="D257" i="2"/>
  <c r="F257" i="2"/>
  <c r="D258" i="2"/>
  <c r="F258" i="2"/>
  <c r="D259" i="2"/>
  <c r="F259" i="2"/>
  <c r="D179" i="2"/>
  <c r="F179" i="2"/>
  <c r="D180" i="2"/>
  <c r="F180" i="2"/>
  <c r="D181" i="2"/>
  <c r="F181" i="2"/>
  <c r="D182" i="2"/>
  <c r="F182" i="2"/>
  <c r="D183" i="2"/>
  <c r="F183" i="2"/>
  <c r="D184" i="2"/>
  <c r="F184" i="2"/>
  <c r="D185" i="2"/>
  <c r="F185" i="2"/>
  <c r="D79" i="2"/>
  <c r="F79" i="2"/>
  <c r="D82" i="2"/>
  <c r="F82" i="2"/>
  <c r="D87" i="2"/>
  <c r="F87" i="2"/>
  <c r="D91" i="2"/>
  <c r="F91" i="2"/>
  <c r="D96" i="2"/>
  <c r="F96" i="2"/>
  <c r="D97" i="2"/>
  <c r="F97" i="2"/>
  <c r="D100" i="2"/>
  <c r="F100" i="2"/>
  <c r="D105" i="2"/>
  <c r="F105" i="2"/>
  <c r="D114" i="2"/>
  <c r="F114" i="2"/>
  <c r="D119" i="2"/>
  <c r="F119" i="2"/>
  <c r="D123" i="2"/>
  <c r="F123" i="2"/>
  <c r="D128" i="2"/>
  <c r="F128" i="2"/>
  <c r="D132" i="2"/>
  <c r="F132" i="2"/>
  <c r="D137" i="2"/>
  <c r="F137" i="2"/>
  <c r="D146" i="2"/>
  <c r="F146" i="2"/>
  <c r="D151" i="2"/>
  <c r="F151" i="2"/>
  <c r="D155" i="2"/>
  <c r="F155" i="2"/>
  <c r="D160" i="2"/>
  <c r="F160" i="2"/>
  <c r="D164" i="2"/>
  <c r="F164" i="2"/>
  <c r="D169" i="2"/>
  <c r="F169" i="2"/>
  <c r="D178" i="2"/>
  <c r="F178" i="2"/>
  <c r="D80" i="2"/>
  <c r="F80" i="2"/>
  <c r="D81" i="2"/>
  <c r="F81" i="2"/>
  <c r="D83" i="2"/>
  <c r="F83" i="2"/>
  <c r="D84" i="2"/>
  <c r="F84" i="2"/>
  <c r="D85" i="2"/>
  <c r="F85" i="2"/>
  <c r="D86" i="2"/>
  <c r="F86" i="2"/>
  <c r="D88" i="2"/>
  <c r="F88" i="2"/>
  <c r="D89" i="2"/>
  <c r="F89" i="2"/>
  <c r="D90" i="2"/>
  <c r="F90" i="2"/>
  <c r="D92" i="2"/>
  <c r="F92" i="2"/>
  <c r="D93" i="2"/>
  <c r="F93" i="2"/>
  <c r="D94" i="2"/>
  <c r="F94" i="2"/>
  <c r="D95" i="2"/>
  <c r="F95" i="2"/>
  <c r="D98" i="2"/>
  <c r="F98" i="2"/>
  <c r="D99" i="2"/>
  <c r="F99" i="2"/>
  <c r="D101" i="2"/>
  <c r="F101" i="2"/>
  <c r="D102" i="2"/>
  <c r="F102" i="2"/>
  <c r="D103" i="2"/>
  <c r="F103" i="2"/>
  <c r="D104" i="2"/>
  <c r="F104" i="2"/>
  <c r="D106" i="2"/>
  <c r="F106" i="2"/>
  <c r="D107" i="2"/>
  <c r="F107" i="2"/>
  <c r="D108" i="2"/>
  <c r="F108" i="2"/>
  <c r="D109" i="2"/>
  <c r="F109" i="2"/>
  <c r="D110" i="2"/>
  <c r="F110" i="2"/>
  <c r="D111" i="2"/>
  <c r="F111" i="2"/>
  <c r="D112" i="2"/>
  <c r="F112" i="2"/>
  <c r="D113" i="2"/>
  <c r="F113" i="2"/>
  <c r="D115" i="2"/>
  <c r="F115" i="2"/>
  <c r="D116" i="2"/>
  <c r="F116" i="2"/>
  <c r="D117" i="2"/>
  <c r="F117" i="2"/>
  <c r="D118" i="2"/>
  <c r="F118" i="2"/>
  <c r="D120" i="2"/>
  <c r="F120" i="2"/>
  <c r="D121" i="2"/>
  <c r="F121" i="2"/>
  <c r="D122" i="2"/>
  <c r="F122" i="2"/>
  <c r="D124" i="2"/>
  <c r="F124" i="2"/>
  <c r="D125" i="2"/>
  <c r="F125" i="2"/>
  <c r="D126" i="2"/>
  <c r="F126" i="2"/>
  <c r="D127" i="2"/>
  <c r="F127" i="2"/>
  <c r="D129" i="2"/>
  <c r="F129" i="2"/>
  <c r="D130" i="2"/>
  <c r="F130" i="2"/>
  <c r="D131" i="2"/>
  <c r="F131" i="2"/>
  <c r="D133" i="2"/>
  <c r="F133" i="2"/>
  <c r="D134" i="2"/>
  <c r="F134" i="2"/>
  <c r="D135" i="2"/>
  <c r="F135" i="2"/>
  <c r="D136" i="2"/>
  <c r="F136" i="2"/>
  <c r="D138" i="2"/>
  <c r="F138" i="2"/>
  <c r="D139" i="2"/>
  <c r="F139" i="2"/>
  <c r="D140" i="2"/>
  <c r="F140" i="2"/>
  <c r="D141" i="2"/>
  <c r="F141" i="2"/>
  <c r="D142" i="2"/>
  <c r="F142" i="2"/>
  <c r="D143" i="2"/>
  <c r="F143" i="2"/>
  <c r="D144" i="2"/>
  <c r="F144" i="2"/>
  <c r="D145" i="2"/>
  <c r="F145" i="2"/>
  <c r="D147" i="2"/>
  <c r="F147" i="2"/>
  <c r="D148" i="2"/>
  <c r="F148" i="2"/>
  <c r="D149" i="2"/>
  <c r="F149" i="2"/>
  <c r="D150" i="2"/>
  <c r="F150" i="2"/>
  <c r="D152" i="2"/>
  <c r="F152" i="2"/>
  <c r="D153" i="2"/>
  <c r="F153" i="2"/>
  <c r="D154" i="2"/>
  <c r="F154" i="2"/>
  <c r="D156" i="2"/>
  <c r="F156" i="2"/>
  <c r="D157" i="2"/>
  <c r="F157" i="2"/>
  <c r="D158" i="2"/>
  <c r="F158" i="2"/>
  <c r="D159" i="2"/>
  <c r="F159" i="2"/>
  <c r="D161" i="2"/>
  <c r="F161" i="2"/>
  <c r="D162" i="2"/>
  <c r="F162" i="2"/>
  <c r="D163" i="2"/>
  <c r="F163" i="2"/>
  <c r="D165" i="2"/>
  <c r="F165" i="2"/>
  <c r="D166" i="2"/>
  <c r="F166" i="2"/>
  <c r="D167" i="2"/>
  <c r="F167" i="2"/>
  <c r="D168" i="2"/>
  <c r="F168" i="2"/>
  <c r="D170" i="2"/>
  <c r="F170" i="2"/>
  <c r="D171" i="2"/>
  <c r="F171" i="2"/>
  <c r="D172" i="2"/>
  <c r="F172" i="2"/>
  <c r="D173" i="2"/>
  <c r="F173" i="2"/>
  <c r="D174" i="2"/>
  <c r="F174" i="2"/>
  <c r="D175" i="2"/>
  <c r="F175" i="2"/>
  <c r="D176" i="2"/>
  <c r="F176" i="2"/>
  <c r="D177" i="2"/>
  <c r="F177" i="2"/>
  <c r="D75" i="2"/>
  <c r="F75" i="2"/>
  <c r="D76" i="2"/>
  <c r="F76" i="2"/>
  <c r="D77" i="2"/>
  <c r="F77" i="2"/>
  <c r="D78" i="2"/>
  <c r="F78" i="2"/>
  <c r="D74" i="2"/>
  <c r="D72" i="2"/>
  <c r="F72" i="2"/>
  <c r="D73" i="2"/>
  <c r="F73" i="2"/>
  <c r="F74" i="2"/>
  <c r="D3" i="2"/>
  <c r="F3" i="2"/>
  <c r="D4" i="2"/>
  <c r="F4" i="2"/>
  <c r="D5" i="2"/>
  <c r="F5" i="2"/>
  <c r="D6" i="2"/>
  <c r="F6" i="2"/>
  <c r="D7" i="2"/>
  <c r="F7" i="2"/>
  <c r="D8" i="2"/>
  <c r="F8" i="2"/>
  <c r="D9" i="2"/>
  <c r="F9" i="2"/>
  <c r="D10" i="2"/>
  <c r="F10" i="2"/>
  <c r="D11" i="2"/>
  <c r="F11" i="2"/>
  <c r="D12" i="2"/>
  <c r="F12" i="2"/>
  <c r="D13" i="2"/>
  <c r="F13" i="2"/>
  <c r="D14" i="2"/>
  <c r="F14" i="2"/>
  <c r="D15" i="2"/>
  <c r="F15" i="2"/>
  <c r="D16" i="2"/>
  <c r="F16" i="2"/>
  <c r="D17" i="2"/>
  <c r="F17" i="2"/>
  <c r="D18" i="2"/>
  <c r="F18" i="2"/>
  <c r="D19" i="2"/>
  <c r="F19" i="2"/>
  <c r="D20" i="2"/>
  <c r="F20" i="2"/>
  <c r="D21" i="2"/>
  <c r="F21" i="2"/>
  <c r="D22" i="2"/>
  <c r="F22" i="2"/>
  <c r="D23" i="2"/>
  <c r="F23" i="2"/>
  <c r="D24" i="2"/>
  <c r="F24" i="2"/>
  <c r="D25" i="2"/>
  <c r="F25" i="2"/>
  <c r="D26" i="2"/>
  <c r="F26" i="2"/>
  <c r="D27" i="2"/>
  <c r="F27" i="2"/>
  <c r="D28" i="2"/>
  <c r="F28" i="2"/>
  <c r="D29" i="2"/>
  <c r="F29" i="2"/>
  <c r="D30" i="2"/>
  <c r="F30" i="2"/>
  <c r="D31" i="2"/>
  <c r="F31" i="2"/>
  <c r="D32" i="2"/>
  <c r="F32" i="2"/>
  <c r="D33" i="2"/>
  <c r="F33" i="2"/>
  <c r="D34" i="2"/>
  <c r="F34" i="2"/>
  <c r="D35" i="2"/>
  <c r="F35" i="2"/>
  <c r="D36" i="2"/>
  <c r="F36" i="2"/>
  <c r="D37" i="2"/>
  <c r="F37" i="2"/>
  <c r="D38" i="2"/>
  <c r="F38" i="2"/>
  <c r="D39" i="2"/>
  <c r="F39" i="2"/>
  <c r="D40" i="2"/>
  <c r="F40" i="2"/>
  <c r="D41" i="2"/>
  <c r="F41" i="2"/>
  <c r="D42" i="2"/>
  <c r="F42" i="2"/>
  <c r="D43" i="2"/>
  <c r="F43" i="2"/>
  <c r="D44" i="2"/>
  <c r="F44" i="2"/>
  <c r="D45" i="2"/>
  <c r="F45" i="2"/>
  <c r="D46" i="2"/>
  <c r="F46" i="2"/>
  <c r="D47" i="2"/>
  <c r="F47" i="2"/>
  <c r="D48" i="2"/>
  <c r="F48" i="2"/>
  <c r="D49" i="2"/>
  <c r="F49" i="2"/>
  <c r="D50" i="2"/>
  <c r="F50" i="2"/>
  <c r="D51" i="2"/>
  <c r="F51" i="2"/>
  <c r="D52" i="2"/>
  <c r="F52" i="2"/>
  <c r="D53" i="2"/>
  <c r="F53" i="2"/>
  <c r="D54" i="2"/>
  <c r="F54" i="2"/>
  <c r="D55" i="2"/>
  <c r="F55" i="2"/>
  <c r="D56" i="2"/>
  <c r="F56" i="2"/>
  <c r="D57" i="2"/>
  <c r="F57" i="2"/>
  <c r="D58" i="2"/>
  <c r="F58" i="2"/>
  <c r="D59" i="2"/>
  <c r="F59" i="2"/>
  <c r="D60" i="2"/>
  <c r="F60" i="2"/>
  <c r="D61" i="2"/>
  <c r="F61" i="2"/>
  <c r="D62" i="2"/>
  <c r="F62" i="2"/>
  <c r="D63" i="2"/>
  <c r="F63" i="2"/>
  <c r="D64" i="2"/>
  <c r="F64" i="2"/>
  <c r="D65" i="2"/>
  <c r="F65" i="2"/>
  <c r="D66" i="2"/>
  <c r="F66" i="2"/>
  <c r="D67" i="2"/>
  <c r="F67" i="2"/>
  <c r="D68" i="2"/>
  <c r="F68" i="2"/>
  <c r="D69" i="2"/>
  <c r="F69" i="2"/>
  <c r="D70" i="2"/>
  <c r="F70" i="2"/>
  <c r="D71" i="2"/>
  <c r="F71" i="2"/>
  <c r="D2" i="2"/>
  <c r="F2" i="2"/>
  <c r="G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CE7C70-E0DB-47B5-A35C-DE98214652A4}" keepAlive="1" name="查询 - fund_value_simple" description="与工作簿中“fund_value_simple”查询的连接。" type="5" refreshedVersion="6" background="1" saveData="1">
    <dbPr connection="Provider=Microsoft.Mashup.OleDb.1;Data Source=$Workbook$;Location=fund_value_simple;Extended Properties=&quot;&quot;" command="SELECT * FROM [fund_value_simple]"/>
  </connection>
</connections>
</file>

<file path=xl/sharedStrings.xml><?xml version="1.0" encoding="utf-8"?>
<sst xmlns="http://schemas.openxmlformats.org/spreadsheetml/2006/main" count="25" uniqueCount="22">
  <si>
    <t>交易日期</t>
    <phoneticPr fontId="2" type="noConversion"/>
  </si>
  <si>
    <t>申购</t>
    <phoneticPr fontId="2" type="noConversion"/>
  </si>
  <si>
    <t>交易性质</t>
    <phoneticPr fontId="2" type="noConversion"/>
  </si>
  <si>
    <t>交易金额</t>
    <phoneticPr fontId="2" type="noConversion"/>
  </si>
  <si>
    <t>基金净值</t>
    <phoneticPr fontId="2" type="noConversion"/>
  </si>
  <si>
    <t>交易份额</t>
    <phoneticPr fontId="2" type="noConversion"/>
  </si>
  <si>
    <t>基金净值（前一日）</t>
    <phoneticPr fontId="2" type="noConversion"/>
  </si>
  <si>
    <t>总金额</t>
    <phoneticPr fontId="2" type="noConversion"/>
  </si>
  <si>
    <t>总份额</t>
    <phoneticPr fontId="2" type="noConversion"/>
  </si>
  <si>
    <t>基金总金额</t>
    <phoneticPr fontId="2" type="noConversion"/>
  </si>
  <si>
    <t>原始金额</t>
    <phoneticPr fontId="2" type="noConversion"/>
  </si>
  <si>
    <t>盈亏</t>
    <phoneticPr fontId="2" type="noConversion"/>
  </si>
  <si>
    <t>净值日期</t>
    <phoneticPr fontId="2" type="noConversion"/>
  </si>
  <si>
    <t>申购</t>
    <phoneticPr fontId="2" type="noConversion"/>
  </si>
  <si>
    <t>Column1</t>
  </si>
  <si>
    <t>持仓金额</t>
  </si>
  <si>
    <t>账面现金</t>
  </si>
  <si>
    <t>基金申赎</t>
  </si>
  <si>
    <t>总资产</t>
  </si>
  <si>
    <t>份额确认</t>
  </si>
  <si>
    <t>基金份额</t>
  </si>
  <si>
    <t>基金净值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</si>
</sst>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.000_ "/>
  </numFmts>
  <fonts count="3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12">
    <xf numFmtId="0" fontId="0" fillId="0" borderId="0" xfId="0"/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0" fontId="0" fillId="0" borderId="0" xfId="1" applyNumberFormat="1" applyFont="1" applyAlignment="1"/>
    <xf numFmtId="176" fontId="0" fillId="0" borderId="0" xfId="0" applyNumberFormat="1"/>
    <xf numFmtId="177" fontId="0" fillId="0" borderId="0" xfId="0" applyNumberFormat="1"/>
    <xf numFmtId="0" fontId="0" fillId="0" borderId="0" xfId="0" applyAlignment="1">
      <alignment horizontal="right"/>
    </xf>
    <xf numFmtId="177" fontId="0" fillId="0" borderId="0" xfId="0" applyNumberFormat="1" applyAlignment="1">
      <alignment horizontal="right"/>
    </xf>
    <xf numFmtId="176" fontId="0" fillId="0" borderId="0" xfId="0" applyNumberFormat="1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1" xfId="0" applyFont="1" applyBorder="1"/>
  </cellXfs>
  <cellStyles count="2">
    <cellStyle name="百分比" xfId="1" builtinId="5"/>
    <cellStyle name="常规" xfId="0" builtinId="0"/>
  </cellStyles>
  <dxfs count="1">
    <dxf>
      <numFmt numFmtId="19" formatCode="yyyy/m/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净值记录!$F$1</c:f>
              <c:strCache>
                <c:ptCount val="1"/>
                <c:pt idx="0">
                  <c:v>盈亏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净值记录!$A$2:$A$259</c:f>
              <c:numCache>
                <c:formatCode>m/d/yyyy</c:formatCode>
                <c:ptCount val="258"/>
                <c:pt idx="0">
                  <c:v>43431</c:v>
                </c:pt>
                <c:pt idx="1">
                  <c:v>43432</c:v>
                </c:pt>
                <c:pt idx="2">
                  <c:v>43433</c:v>
                </c:pt>
                <c:pt idx="3">
                  <c:v>43434</c:v>
                </c:pt>
                <c:pt idx="4">
                  <c:v>43437</c:v>
                </c:pt>
                <c:pt idx="5">
                  <c:v>43438</c:v>
                </c:pt>
                <c:pt idx="6">
                  <c:v>43439</c:v>
                </c:pt>
                <c:pt idx="7">
                  <c:v>43440</c:v>
                </c:pt>
                <c:pt idx="8">
                  <c:v>43441</c:v>
                </c:pt>
                <c:pt idx="9">
                  <c:v>43444</c:v>
                </c:pt>
                <c:pt idx="10">
                  <c:v>43445</c:v>
                </c:pt>
                <c:pt idx="11">
                  <c:v>43446</c:v>
                </c:pt>
                <c:pt idx="12">
                  <c:v>43447</c:v>
                </c:pt>
                <c:pt idx="13">
                  <c:v>43448</c:v>
                </c:pt>
                <c:pt idx="14">
                  <c:v>43451</c:v>
                </c:pt>
                <c:pt idx="15">
                  <c:v>43452</c:v>
                </c:pt>
                <c:pt idx="16">
                  <c:v>43453</c:v>
                </c:pt>
                <c:pt idx="17">
                  <c:v>43454</c:v>
                </c:pt>
                <c:pt idx="18">
                  <c:v>43455</c:v>
                </c:pt>
                <c:pt idx="19">
                  <c:v>43458</c:v>
                </c:pt>
                <c:pt idx="20">
                  <c:v>43459</c:v>
                </c:pt>
                <c:pt idx="21">
                  <c:v>43460</c:v>
                </c:pt>
                <c:pt idx="22">
                  <c:v>43461</c:v>
                </c:pt>
                <c:pt idx="23">
                  <c:v>43462</c:v>
                </c:pt>
                <c:pt idx="24">
                  <c:v>43467</c:v>
                </c:pt>
                <c:pt idx="25">
                  <c:v>43468</c:v>
                </c:pt>
                <c:pt idx="26">
                  <c:v>43469</c:v>
                </c:pt>
                <c:pt idx="27">
                  <c:v>43472</c:v>
                </c:pt>
                <c:pt idx="28">
                  <c:v>43473</c:v>
                </c:pt>
                <c:pt idx="29">
                  <c:v>43474</c:v>
                </c:pt>
                <c:pt idx="30">
                  <c:v>43475</c:v>
                </c:pt>
                <c:pt idx="31">
                  <c:v>43476</c:v>
                </c:pt>
                <c:pt idx="32">
                  <c:v>43479</c:v>
                </c:pt>
                <c:pt idx="33">
                  <c:v>43480</c:v>
                </c:pt>
                <c:pt idx="34">
                  <c:v>43481</c:v>
                </c:pt>
                <c:pt idx="35">
                  <c:v>43482</c:v>
                </c:pt>
                <c:pt idx="36">
                  <c:v>43483</c:v>
                </c:pt>
                <c:pt idx="37">
                  <c:v>43486</c:v>
                </c:pt>
                <c:pt idx="38">
                  <c:v>43487</c:v>
                </c:pt>
                <c:pt idx="39">
                  <c:v>43488</c:v>
                </c:pt>
                <c:pt idx="40">
                  <c:v>43489</c:v>
                </c:pt>
                <c:pt idx="41">
                  <c:v>43490</c:v>
                </c:pt>
                <c:pt idx="42">
                  <c:v>43493</c:v>
                </c:pt>
                <c:pt idx="43">
                  <c:v>43494</c:v>
                </c:pt>
                <c:pt idx="44">
                  <c:v>43495</c:v>
                </c:pt>
                <c:pt idx="45">
                  <c:v>43496</c:v>
                </c:pt>
                <c:pt idx="46">
                  <c:v>43497</c:v>
                </c:pt>
                <c:pt idx="47">
                  <c:v>43507</c:v>
                </c:pt>
                <c:pt idx="48">
                  <c:v>43508</c:v>
                </c:pt>
                <c:pt idx="49">
                  <c:v>43509</c:v>
                </c:pt>
                <c:pt idx="50">
                  <c:v>43510</c:v>
                </c:pt>
                <c:pt idx="51">
                  <c:v>43511</c:v>
                </c:pt>
                <c:pt idx="52">
                  <c:v>43514</c:v>
                </c:pt>
                <c:pt idx="53">
                  <c:v>43515</c:v>
                </c:pt>
                <c:pt idx="54">
                  <c:v>43516</c:v>
                </c:pt>
                <c:pt idx="55">
                  <c:v>43517</c:v>
                </c:pt>
                <c:pt idx="56">
                  <c:v>43518</c:v>
                </c:pt>
                <c:pt idx="57">
                  <c:v>43521</c:v>
                </c:pt>
                <c:pt idx="58">
                  <c:v>43522</c:v>
                </c:pt>
                <c:pt idx="59">
                  <c:v>43523</c:v>
                </c:pt>
                <c:pt idx="60">
                  <c:v>43524</c:v>
                </c:pt>
                <c:pt idx="61">
                  <c:v>43525</c:v>
                </c:pt>
                <c:pt idx="62">
                  <c:v>43528</c:v>
                </c:pt>
                <c:pt idx="63">
                  <c:v>43529</c:v>
                </c:pt>
                <c:pt idx="64">
                  <c:v>43530</c:v>
                </c:pt>
                <c:pt idx="65">
                  <c:v>43531</c:v>
                </c:pt>
                <c:pt idx="66">
                  <c:v>43532</c:v>
                </c:pt>
                <c:pt idx="67">
                  <c:v>43535</c:v>
                </c:pt>
                <c:pt idx="68">
                  <c:v>43536</c:v>
                </c:pt>
                <c:pt idx="69">
                  <c:v>43537</c:v>
                </c:pt>
                <c:pt idx="70">
                  <c:v>43538</c:v>
                </c:pt>
                <c:pt idx="71">
                  <c:v>43539</c:v>
                </c:pt>
                <c:pt idx="72">
                  <c:v>43542</c:v>
                </c:pt>
                <c:pt idx="73">
                  <c:v>43543</c:v>
                </c:pt>
                <c:pt idx="74">
                  <c:v>43544</c:v>
                </c:pt>
                <c:pt idx="75">
                  <c:v>43545</c:v>
                </c:pt>
                <c:pt idx="76">
                  <c:v>43546</c:v>
                </c:pt>
                <c:pt idx="77">
                  <c:v>43549</c:v>
                </c:pt>
                <c:pt idx="78">
                  <c:v>43550</c:v>
                </c:pt>
                <c:pt idx="79">
                  <c:v>43551</c:v>
                </c:pt>
                <c:pt idx="80">
                  <c:v>43552</c:v>
                </c:pt>
                <c:pt idx="81">
                  <c:v>43553</c:v>
                </c:pt>
                <c:pt idx="82">
                  <c:v>43556</c:v>
                </c:pt>
                <c:pt idx="83">
                  <c:v>43557</c:v>
                </c:pt>
                <c:pt idx="84">
                  <c:v>43558</c:v>
                </c:pt>
                <c:pt idx="85">
                  <c:v>43559</c:v>
                </c:pt>
                <c:pt idx="86">
                  <c:v>43563</c:v>
                </c:pt>
                <c:pt idx="87">
                  <c:v>43564</c:v>
                </c:pt>
                <c:pt idx="88">
                  <c:v>43565</c:v>
                </c:pt>
                <c:pt idx="89">
                  <c:v>43566</c:v>
                </c:pt>
                <c:pt idx="90">
                  <c:v>43567</c:v>
                </c:pt>
                <c:pt idx="91">
                  <c:v>43570</c:v>
                </c:pt>
                <c:pt idx="92">
                  <c:v>43571</c:v>
                </c:pt>
                <c:pt idx="93">
                  <c:v>43572</c:v>
                </c:pt>
                <c:pt idx="94">
                  <c:v>43573</c:v>
                </c:pt>
                <c:pt idx="95">
                  <c:v>43574</c:v>
                </c:pt>
                <c:pt idx="96">
                  <c:v>43577</c:v>
                </c:pt>
                <c:pt idx="97">
                  <c:v>43578</c:v>
                </c:pt>
                <c:pt idx="98">
                  <c:v>43579</c:v>
                </c:pt>
                <c:pt idx="99">
                  <c:v>43580</c:v>
                </c:pt>
                <c:pt idx="100">
                  <c:v>43581</c:v>
                </c:pt>
                <c:pt idx="101">
                  <c:v>43584</c:v>
                </c:pt>
                <c:pt idx="102">
                  <c:v>43585</c:v>
                </c:pt>
                <c:pt idx="103">
                  <c:v>43591</c:v>
                </c:pt>
                <c:pt idx="104">
                  <c:v>43592</c:v>
                </c:pt>
                <c:pt idx="105">
                  <c:v>43593</c:v>
                </c:pt>
                <c:pt idx="106">
                  <c:v>43594</c:v>
                </c:pt>
                <c:pt idx="107">
                  <c:v>43595</c:v>
                </c:pt>
                <c:pt idx="108">
                  <c:v>43598</c:v>
                </c:pt>
                <c:pt idx="109">
                  <c:v>43599</c:v>
                </c:pt>
                <c:pt idx="110">
                  <c:v>43600</c:v>
                </c:pt>
                <c:pt idx="111">
                  <c:v>43601</c:v>
                </c:pt>
                <c:pt idx="112">
                  <c:v>43602</c:v>
                </c:pt>
                <c:pt idx="113">
                  <c:v>43605</c:v>
                </c:pt>
                <c:pt idx="114">
                  <c:v>43606</c:v>
                </c:pt>
                <c:pt idx="115">
                  <c:v>43607</c:v>
                </c:pt>
                <c:pt idx="116">
                  <c:v>43608</c:v>
                </c:pt>
                <c:pt idx="117">
                  <c:v>43609</c:v>
                </c:pt>
                <c:pt idx="118">
                  <c:v>43612</c:v>
                </c:pt>
                <c:pt idx="119">
                  <c:v>43613</c:v>
                </c:pt>
                <c:pt idx="120">
                  <c:v>43614</c:v>
                </c:pt>
                <c:pt idx="121">
                  <c:v>43615</c:v>
                </c:pt>
                <c:pt idx="122">
                  <c:v>43616</c:v>
                </c:pt>
                <c:pt idx="123">
                  <c:v>43619</c:v>
                </c:pt>
                <c:pt idx="124">
                  <c:v>43620</c:v>
                </c:pt>
                <c:pt idx="125">
                  <c:v>43621</c:v>
                </c:pt>
                <c:pt idx="126">
                  <c:v>43622</c:v>
                </c:pt>
                <c:pt idx="127">
                  <c:v>43626</c:v>
                </c:pt>
                <c:pt idx="128">
                  <c:v>43627</c:v>
                </c:pt>
                <c:pt idx="129">
                  <c:v>43628</c:v>
                </c:pt>
                <c:pt idx="130">
                  <c:v>43629</c:v>
                </c:pt>
                <c:pt idx="131">
                  <c:v>43630</c:v>
                </c:pt>
                <c:pt idx="132">
                  <c:v>43633</c:v>
                </c:pt>
                <c:pt idx="133">
                  <c:v>43634</c:v>
                </c:pt>
                <c:pt idx="134">
                  <c:v>43635</c:v>
                </c:pt>
                <c:pt idx="135">
                  <c:v>43636</c:v>
                </c:pt>
                <c:pt idx="136">
                  <c:v>43637</c:v>
                </c:pt>
                <c:pt idx="137">
                  <c:v>43640</c:v>
                </c:pt>
                <c:pt idx="138">
                  <c:v>43641</c:v>
                </c:pt>
                <c:pt idx="139">
                  <c:v>43642</c:v>
                </c:pt>
                <c:pt idx="140">
                  <c:v>43643</c:v>
                </c:pt>
                <c:pt idx="141">
                  <c:v>43644</c:v>
                </c:pt>
                <c:pt idx="142">
                  <c:v>43647</c:v>
                </c:pt>
                <c:pt idx="143">
                  <c:v>43648</c:v>
                </c:pt>
                <c:pt idx="144">
                  <c:v>43649</c:v>
                </c:pt>
                <c:pt idx="145">
                  <c:v>43650</c:v>
                </c:pt>
                <c:pt idx="146">
                  <c:v>43651</c:v>
                </c:pt>
                <c:pt idx="147">
                  <c:v>43654</c:v>
                </c:pt>
                <c:pt idx="148">
                  <c:v>43655</c:v>
                </c:pt>
                <c:pt idx="149">
                  <c:v>43656</c:v>
                </c:pt>
                <c:pt idx="150">
                  <c:v>43657</c:v>
                </c:pt>
                <c:pt idx="151">
                  <c:v>43658</c:v>
                </c:pt>
                <c:pt idx="152">
                  <c:v>43661</c:v>
                </c:pt>
                <c:pt idx="153">
                  <c:v>43662</c:v>
                </c:pt>
                <c:pt idx="154">
                  <c:v>43663</c:v>
                </c:pt>
                <c:pt idx="155">
                  <c:v>43664</c:v>
                </c:pt>
                <c:pt idx="156">
                  <c:v>43665</c:v>
                </c:pt>
                <c:pt idx="157">
                  <c:v>43668</c:v>
                </c:pt>
                <c:pt idx="158">
                  <c:v>43669</c:v>
                </c:pt>
                <c:pt idx="159">
                  <c:v>43670</c:v>
                </c:pt>
                <c:pt idx="160">
                  <c:v>43671</c:v>
                </c:pt>
                <c:pt idx="161">
                  <c:v>43672</c:v>
                </c:pt>
                <c:pt idx="162">
                  <c:v>43675</c:v>
                </c:pt>
                <c:pt idx="163">
                  <c:v>43676</c:v>
                </c:pt>
                <c:pt idx="164">
                  <c:v>43677</c:v>
                </c:pt>
                <c:pt idx="165">
                  <c:v>43678</c:v>
                </c:pt>
                <c:pt idx="166">
                  <c:v>43679</c:v>
                </c:pt>
                <c:pt idx="167">
                  <c:v>43682</c:v>
                </c:pt>
                <c:pt idx="168">
                  <c:v>43683</c:v>
                </c:pt>
                <c:pt idx="169">
                  <c:v>43684</c:v>
                </c:pt>
                <c:pt idx="170">
                  <c:v>43685</c:v>
                </c:pt>
                <c:pt idx="171">
                  <c:v>43686</c:v>
                </c:pt>
                <c:pt idx="172">
                  <c:v>43689</c:v>
                </c:pt>
                <c:pt idx="173">
                  <c:v>43690</c:v>
                </c:pt>
                <c:pt idx="174">
                  <c:v>43691</c:v>
                </c:pt>
                <c:pt idx="175">
                  <c:v>43692</c:v>
                </c:pt>
                <c:pt idx="176">
                  <c:v>43693</c:v>
                </c:pt>
                <c:pt idx="177">
                  <c:v>43696</c:v>
                </c:pt>
                <c:pt idx="178">
                  <c:v>43697</c:v>
                </c:pt>
                <c:pt idx="179">
                  <c:v>43698</c:v>
                </c:pt>
                <c:pt idx="180">
                  <c:v>43699</c:v>
                </c:pt>
                <c:pt idx="181">
                  <c:v>43700</c:v>
                </c:pt>
                <c:pt idx="182">
                  <c:v>43703</c:v>
                </c:pt>
                <c:pt idx="183">
                  <c:v>43704</c:v>
                </c:pt>
                <c:pt idx="184">
                  <c:v>43705</c:v>
                </c:pt>
                <c:pt idx="185">
                  <c:v>43706</c:v>
                </c:pt>
                <c:pt idx="186">
                  <c:v>43707</c:v>
                </c:pt>
                <c:pt idx="187">
                  <c:v>43710</c:v>
                </c:pt>
                <c:pt idx="188">
                  <c:v>43711</c:v>
                </c:pt>
                <c:pt idx="189">
                  <c:v>43712</c:v>
                </c:pt>
                <c:pt idx="190">
                  <c:v>43713</c:v>
                </c:pt>
                <c:pt idx="191">
                  <c:v>43714</c:v>
                </c:pt>
                <c:pt idx="192">
                  <c:v>43717</c:v>
                </c:pt>
                <c:pt idx="193">
                  <c:v>43718</c:v>
                </c:pt>
                <c:pt idx="194">
                  <c:v>43719</c:v>
                </c:pt>
                <c:pt idx="195">
                  <c:v>43720</c:v>
                </c:pt>
                <c:pt idx="196">
                  <c:v>43724</c:v>
                </c:pt>
                <c:pt idx="197">
                  <c:v>43725</c:v>
                </c:pt>
                <c:pt idx="198">
                  <c:v>43726</c:v>
                </c:pt>
                <c:pt idx="199">
                  <c:v>43727</c:v>
                </c:pt>
                <c:pt idx="200">
                  <c:v>43728</c:v>
                </c:pt>
                <c:pt idx="201">
                  <c:v>43731</c:v>
                </c:pt>
                <c:pt idx="202">
                  <c:v>43732</c:v>
                </c:pt>
                <c:pt idx="203">
                  <c:v>43733</c:v>
                </c:pt>
                <c:pt idx="204">
                  <c:v>43734</c:v>
                </c:pt>
                <c:pt idx="205">
                  <c:v>43735</c:v>
                </c:pt>
                <c:pt idx="206">
                  <c:v>43738</c:v>
                </c:pt>
                <c:pt idx="207">
                  <c:v>43746</c:v>
                </c:pt>
                <c:pt idx="208">
                  <c:v>43747</c:v>
                </c:pt>
                <c:pt idx="209">
                  <c:v>43748</c:v>
                </c:pt>
                <c:pt idx="210">
                  <c:v>43749</c:v>
                </c:pt>
                <c:pt idx="211">
                  <c:v>43752</c:v>
                </c:pt>
                <c:pt idx="212">
                  <c:v>43753</c:v>
                </c:pt>
                <c:pt idx="213">
                  <c:v>43754</c:v>
                </c:pt>
                <c:pt idx="214">
                  <c:v>43755</c:v>
                </c:pt>
                <c:pt idx="215">
                  <c:v>43756</c:v>
                </c:pt>
                <c:pt idx="216">
                  <c:v>43759</c:v>
                </c:pt>
                <c:pt idx="217">
                  <c:v>43760</c:v>
                </c:pt>
                <c:pt idx="218">
                  <c:v>43761</c:v>
                </c:pt>
                <c:pt idx="219">
                  <c:v>43762</c:v>
                </c:pt>
                <c:pt idx="220">
                  <c:v>43763</c:v>
                </c:pt>
                <c:pt idx="221">
                  <c:v>43766</c:v>
                </c:pt>
                <c:pt idx="222">
                  <c:v>43767</c:v>
                </c:pt>
                <c:pt idx="223">
                  <c:v>43768</c:v>
                </c:pt>
                <c:pt idx="224">
                  <c:v>43769</c:v>
                </c:pt>
                <c:pt idx="225">
                  <c:v>43770</c:v>
                </c:pt>
                <c:pt idx="226">
                  <c:v>43773</c:v>
                </c:pt>
                <c:pt idx="227">
                  <c:v>43774</c:v>
                </c:pt>
                <c:pt idx="228">
                  <c:v>43775</c:v>
                </c:pt>
                <c:pt idx="229">
                  <c:v>43776</c:v>
                </c:pt>
                <c:pt idx="230">
                  <c:v>43777</c:v>
                </c:pt>
                <c:pt idx="231">
                  <c:v>43780</c:v>
                </c:pt>
                <c:pt idx="232">
                  <c:v>43781</c:v>
                </c:pt>
                <c:pt idx="233">
                  <c:v>43782</c:v>
                </c:pt>
                <c:pt idx="234">
                  <c:v>43783</c:v>
                </c:pt>
                <c:pt idx="235">
                  <c:v>43784</c:v>
                </c:pt>
                <c:pt idx="236">
                  <c:v>43787</c:v>
                </c:pt>
                <c:pt idx="237">
                  <c:v>43788</c:v>
                </c:pt>
                <c:pt idx="238">
                  <c:v>43789</c:v>
                </c:pt>
                <c:pt idx="239">
                  <c:v>43790</c:v>
                </c:pt>
                <c:pt idx="240">
                  <c:v>43791</c:v>
                </c:pt>
                <c:pt idx="241">
                  <c:v>43794</c:v>
                </c:pt>
                <c:pt idx="242">
                  <c:v>43795</c:v>
                </c:pt>
                <c:pt idx="243">
                  <c:v>43796</c:v>
                </c:pt>
                <c:pt idx="244">
                  <c:v>43797</c:v>
                </c:pt>
                <c:pt idx="245">
                  <c:v>43798</c:v>
                </c:pt>
                <c:pt idx="246">
                  <c:v>43801</c:v>
                </c:pt>
                <c:pt idx="247">
                  <c:v>43802</c:v>
                </c:pt>
                <c:pt idx="248">
                  <c:v>43803</c:v>
                </c:pt>
                <c:pt idx="249">
                  <c:v>43804</c:v>
                </c:pt>
                <c:pt idx="250">
                  <c:v>43805</c:v>
                </c:pt>
                <c:pt idx="251">
                  <c:v>43808</c:v>
                </c:pt>
                <c:pt idx="252">
                  <c:v>43809</c:v>
                </c:pt>
                <c:pt idx="253">
                  <c:v>43810</c:v>
                </c:pt>
                <c:pt idx="254">
                  <c:v>43811</c:v>
                </c:pt>
                <c:pt idx="255">
                  <c:v>43812</c:v>
                </c:pt>
                <c:pt idx="256">
                  <c:v>43815</c:v>
                </c:pt>
                <c:pt idx="257">
                  <c:v>43816</c:v>
                </c:pt>
              </c:numCache>
            </c:numRef>
          </c:cat>
          <c:val>
            <c:numRef>
              <c:f>净值记录!$F$2:$F$259</c:f>
              <c:numCache>
                <c:formatCode>0.00%</c:formatCode>
                <c:ptCount val="258"/>
                <c:pt idx="0">
                  <c:v>1.3877653137667949E-3</c:v>
                </c:pt>
                <c:pt idx="1">
                  <c:v>1.2247425021101785E-2</c:v>
                </c:pt>
                <c:pt idx="2">
                  <c:v>4.0347196830429312E-3</c:v>
                </c:pt>
                <c:pt idx="3">
                  <c:v>1.0738510832417766E-2</c:v>
                </c:pt>
                <c:pt idx="4">
                  <c:v>3.1636361649726316E-2</c:v>
                </c:pt>
                <c:pt idx="5">
                  <c:v>3.1674488884203066E-2</c:v>
                </c:pt>
                <c:pt idx="6">
                  <c:v>2.7554766925162039E-2</c:v>
                </c:pt>
                <c:pt idx="7">
                  <c:v>1.3114613289242698E-2</c:v>
                </c:pt>
                <c:pt idx="8">
                  <c:v>1.1817462052219466E-2</c:v>
                </c:pt>
                <c:pt idx="9">
                  <c:v>2.7725596741974491E-3</c:v>
                </c:pt>
                <c:pt idx="10">
                  <c:v>6.5588746477709117E-3</c:v>
                </c:pt>
                <c:pt idx="11">
                  <c:v>8.1217611553893228E-3</c:v>
                </c:pt>
                <c:pt idx="12">
                  <c:v>2.0497762434747831E-2</c:v>
                </c:pt>
                <c:pt idx="13">
                  <c:v>7.5654689510006087E-3</c:v>
                </c:pt>
                <c:pt idx="14">
                  <c:v>6.1893236303127196E-3</c:v>
                </c:pt>
                <c:pt idx="15">
                  <c:v>-3.197004412202538E-3</c:v>
                </c:pt>
                <c:pt idx="16">
                  <c:v>-1.2925828836023841E-2</c:v>
                </c:pt>
                <c:pt idx="17">
                  <c:v>-1.8548050148148469E-2</c:v>
                </c:pt>
                <c:pt idx="18">
                  <c:v>-2.8761597463334086E-2</c:v>
                </c:pt>
                <c:pt idx="19">
                  <c:v>-2.6089380860464372E-2</c:v>
                </c:pt>
                <c:pt idx="20">
                  <c:v>-3.2286994746242879E-2</c:v>
                </c:pt>
                <c:pt idx="21">
                  <c:v>-3.7008725740219232E-2</c:v>
                </c:pt>
                <c:pt idx="22">
                  <c:v>-3.842715999304467E-2</c:v>
                </c:pt>
                <c:pt idx="23">
                  <c:v>-3.6419193278340999E-2</c:v>
                </c:pt>
                <c:pt idx="24">
                  <c:v>-4.51975504876665E-2</c:v>
                </c:pt>
                <c:pt idx="25">
                  <c:v>-1.2299324789443764E-2</c:v>
                </c:pt>
                <c:pt idx="26">
                  <c:v>7.2964241266931318E-3</c:v>
                </c:pt>
                <c:pt idx="27">
                  <c:v>1.565418948642942E-2</c:v>
                </c:pt>
                <c:pt idx="28">
                  <c:v>1.3886430203685855E-2</c:v>
                </c:pt>
                <c:pt idx="29">
                  <c:v>1.8333430998940053E-2</c:v>
                </c:pt>
                <c:pt idx="30">
                  <c:v>1.7929090379743946E-2</c:v>
                </c:pt>
                <c:pt idx="31">
                  <c:v>2.5504135854497952E-2</c:v>
                </c:pt>
                <c:pt idx="32">
                  <c:v>1.8073519058482552E-2</c:v>
                </c:pt>
                <c:pt idx="33">
                  <c:v>3.226393515091687E-2</c:v>
                </c:pt>
                <c:pt idx="34">
                  <c:v>1.941903334036809E-2</c:v>
                </c:pt>
                <c:pt idx="35">
                  <c:v>1.3946111475892151E-2</c:v>
                </c:pt>
                <c:pt idx="36">
                  <c:v>3.9320350370199916E-2</c:v>
                </c:pt>
                <c:pt idx="37">
                  <c:v>4.3964000957372705E-2</c:v>
                </c:pt>
                <c:pt idx="38">
                  <c:v>3.2988913405040024E-2</c:v>
                </c:pt>
                <c:pt idx="39">
                  <c:v>3.1506281400260759E-2</c:v>
                </c:pt>
                <c:pt idx="40">
                  <c:v>3.8377684675705195E-2</c:v>
                </c:pt>
                <c:pt idx="41">
                  <c:v>4.2889141244941698E-2</c:v>
                </c:pt>
                <c:pt idx="42">
                  <c:v>4.1290279962541372E-2</c:v>
                </c:pt>
                <c:pt idx="43">
                  <c:v>4.1498418399360124E-2</c:v>
                </c:pt>
                <c:pt idx="44">
                  <c:v>3.6940708844163846E-2</c:v>
                </c:pt>
                <c:pt idx="45">
                  <c:v>4.2736207984913684E-2</c:v>
                </c:pt>
                <c:pt idx="46">
                  <c:v>5.774201945886339E-2</c:v>
                </c:pt>
                <c:pt idx="47">
                  <c:v>7.0310895385458816E-2</c:v>
                </c:pt>
                <c:pt idx="48">
                  <c:v>7.6693061431994045E-2</c:v>
                </c:pt>
                <c:pt idx="49">
                  <c:v>9.4827365194985441E-2</c:v>
                </c:pt>
                <c:pt idx="50">
                  <c:v>9.5854181483290612E-2</c:v>
                </c:pt>
                <c:pt idx="51">
                  <c:v>8.2291910780825123E-2</c:v>
                </c:pt>
                <c:pt idx="52">
                  <c:v>0.10993627606667077</c:v>
                </c:pt>
                <c:pt idx="53">
                  <c:v>0.10962623185756028</c:v>
                </c:pt>
                <c:pt idx="54">
                  <c:v>0.11042566249876076</c:v>
                </c:pt>
                <c:pt idx="55">
                  <c:v>0.10810838790217983</c:v>
                </c:pt>
                <c:pt idx="56">
                  <c:v>0.1315662611459513</c:v>
                </c:pt>
                <c:pt idx="57">
                  <c:v>0.19589804728548527</c:v>
                </c:pt>
                <c:pt idx="58">
                  <c:v>0.17436996797849683</c:v>
                </c:pt>
                <c:pt idx="59">
                  <c:v>0.17249373798351897</c:v>
                </c:pt>
                <c:pt idx="60">
                  <c:v>0.17032298091020395</c:v>
                </c:pt>
                <c:pt idx="61">
                  <c:v>0.18605136846707027</c:v>
                </c:pt>
                <c:pt idx="62">
                  <c:v>0.19523422741505556</c:v>
                </c:pt>
                <c:pt idx="63">
                  <c:v>0.20459553336693659</c:v>
                </c:pt>
                <c:pt idx="64">
                  <c:v>0.21101679064676701</c:v>
                </c:pt>
                <c:pt idx="65">
                  <c:v>0.20254757051118585</c:v>
                </c:pt>
                <c:pt idx="66">
                  <c:v>0.17428580246436823</c:v>
                </c:pt>
                <c:pt idx="67">
                  <c:v>0.18932548306029479</c:v>
                </c:pt>
                <c:pt idx="68">
                  <c:v>0.20004229990715605</c:v>
                </c:pt>
                <c:pt idx="69">
                  <c:v>0.19159680307727686</c:v>
                </c:pt>
                <c:pt idx="70">
                  <c:v>0.18229025469264484</c:v>
                </c:pt>
                <c:pt idx="71">
                  <c:v>0.19072053279811144</c:v>
                </c:pt>
                <c:pt idx="72">
                  <c:v>0.21411753114423288</c:v>
                </c:pt>
                <c:pt idx="73">
                  <c:v>0.21140188405567639</c:v>
                </c:pt>
                <c:pt idx="74">
                  <c:v>0.20935177267412605</c:v>
                </c:pt>
                <c:pt idx="75">
                  <c:v>0.21080605607460715</c:v>
                </c:pt>
                <c:pt idx="76">
                  <c:v>0.2132473185141959</c:v>
                </c:pt>
                <c:pt idx="77">
                  <c:v>0.20238577458223508</c:v>
                </c:pt>
                <c:pt idx="78">
                  <c:v>0.18713124140636678</c:v>
                </c:pt>
                <c:pt idx="79">
                  <c:v>0.19158510554792446</c:v>
                </c:pt>
                <c:pt idx="80">
                  <c:v>0.18826085868604697</c:v>
                </c:pt>
                <c:pt idx="81">
                  <c:v>0.22123028548447846</c:v>
                </c:pt>
                <c:pt idx="82">
                  <c:v>0.24753614903792298</c:v>
                </c:pt>
                <c:pt idx="83">
                  <c:v>0.24660706083285508</c:v>
                </c:pt>
                <c:pt idx="84">
                  <c:v>0.25745532568175017</c:v>
                </c:pt>
                <c:pt idx="85">
                  <c:v>0.26635693663446436</c:v>
                </c:pt>
                <c:pt idx="86">
                  <c:v>0.25902195907715925</c:v>
                </c:pt>
                <c:pt idx="87">
                  <c:v>0.26215507666479665</c:v>
                </c:pt>
                <c:pt idx="88">
                  <c:v>0.2620728657123329</c:v>
                </c:pt>
                <c:pt idx="89">
                  <c:v>0.24649933613652311</c:v>
                </c:pt>
                <c:pt idx="90">
                  <c:v>0.24393065418077442</c:v>
                </c:pt>
                <c:pt idx="91">
                  <c:v>0.23904469762844496</c:v>
                </c:pt>
                <c:pt idx="92">
                  <c:v>0.26313757960848888</c:v>
                </c:pt>
                <c:pt idx="93">
                  <c:v>0.26156154641270762</c:v>
                </c:pt>
                <c:pt idx="94">
                  <c:v>0.26118659882007295</c:v>
                </c:pt>
                <c:pt idx="95">
                  <c:v>0.27117530414602031</c:v>
                </c:pt>
                <c:pt idx="96">
                  <c:v>0.25121549946942623</c:v>
                </c:pt>
                <c:pt idx="97">
                  <c:v>0.24409806014931254</c:v>
                </c:pt>
                <c:pt idx="98">
                  <c:v>0.24707570802285286</c:v>
                </c:pt>
                <c:pt idx="99">
                  <c:v>0.22528876119767099</c:v>
                </c:pt>
                <c:pt idx="100">
                  <c:v>0.21534675646722462</c:v>
                </c:pt>
                <c:pt idx="101">
                  <c:v>0.21297964800835195</c:v>
                </c:pt>
                <c:pt idx="102">
                  <c:v>0.21495927580742685</c:v>
                </c:pt>
                <c:pt idx="103">
                  <c:v>0.16365486696821138</c:v>
                </c:pt>
                <c:pt idx="104">
                  <c:v>0.17122125865849522</c:v>
                </c:pt>
                <c:pt idx="105">
                  <c:v>0.16288151704296519</c:v>
                </c:pt>
                <c:pt idx="106">
                  <c:v>0.15344262543721657</c:v>
                </c:pt>
                <c:pt idx="107">
                  <c:v>0.18057776026796427</c:v>
                </c:pt>
                <c:pt idx="108">
                  <c:v>0.16718573039446638</c:v>
                </c:pt>
                <c:pt idx="109">
                  <c:v>0.16195959059056234</c:v>
                </c:pt>
                <c:pt idx="110">
                  <c:v>0.17673458474425488</c:v>
                </c:pt>
                <c:pt idx="111">
                  <c:v>0.18331996552265176</c:v>
                </c:pt>
                <c:pt idx="112">
                  <c:v>0.16214072325170789</c:v>
                </c:pt>
                <c:pt idx="113">
                  <c:v>0.16203777305715225</c:v>
                </c:pt>
                <c:pt idx="114">
                  <c:v>0.17217777040814189</c:v>
                </c:pt>
                <c:pt idx="115">
                  <c:v>0.1692751717344004</c:v>
                </c:pt>
                <c:pt idx="116">
                  <c:v>0.15707258961596932</c:v>
                </c:pt>
                <c:pt idx="117">
                  <c:v>0.15035531322599693</c:v>
                </c:pt>
                <c:pt idx="118">
                  <c:v>0.16696670012546996</c:v>
                </c:pt>
                <c:pt idx="119">
                  <c:v>0.16797650725119667</c:v>
                </c:pt>
                <c:pt idx="120">
                  <c:v>0.16885501557806987</c:v>
                </c:pt>
                <c:pt idx="121">
                  <c:v>0.1660744651059895</c:v>
                </c:pt>
                <c:pt idx="122">
                  <c:v>0.16320707838284934</c:v>
                </c:pt>
                <c:pt idx="123">
                  <c:v>0.16096112290655501</c:v>
                </c:pt>
                <c:pt idx="124">
                  <c:v>0.15044364150886186</c:v>
                </c:pt>
                <c:pt idx="125">
                  <c:v>0.14853115514101892</c:v>
                </c:pt>
                <c:pt idx="126">
                  <c:v>0.13786074048329772</c:v>
                </c:pt>
                <c:pt idx="127">
                  <c:v>0.14766144980179621</c:v>
                </c:pt>
                <c:pt idx="128">
                  <c:v>0.1728963329255028</c:v>
                </c:pt>
                <c:pt idx="129">
                  <c:v>0.17318213161777984</c:v>
                </c:pt>
                <c:pt idx="130">
                  <c:v>0.17005572817326561</c:v>
                </c:pt>
                <c:pt idx="131">
                  <c:v>0.15715785923363387</c:v>
                </c:pt>
                <c:pt idx="132">
                  <c:v>0.15227039572918116</c:v>
                </c:pt>
                <c:pt idx="133">
                  <c:v>0.14801539425075042</c:v>
                </c:pt>
                <c:pt idx="134">
                  <c:v>0.17086663634798702</c:v>
                </c:pt>
                <c:pt idx="135">
                  <c:v>0.1940998698547447</c:v>
                </c:pt>
                <c:pt idx="136">
                  <c:v>0.2058152717504115</c:v>
                </c:pt>
                <c:pt idx="137">
                  <c:v>0.20512935166385965</c:v>
                </c:pt>
                <c:pt idx="138">
                  <c:v>0.19320356321410348</c:v>
                </c:pt>
                <c:pt idx="139">
                  <c:v>0.19952980700193779</c:v>
                </c:pt>
                <c:pt idx="140">
                  <c:v>0.21338702391186104</c:v>
                </c:pt>
                <c:pt idx="141">
                  <c:v>0.20313434119130155</c:v>
                </c:pt>
                <c:pt idx="142">
                  <c:v>0.23598293928918235</c:v>
                </c:pt>
                <c:pt idx="143">
                  <c:v>0.23414588517725013</c:v>
                </c:pt>
                <c:pt idx="144">
                  <c:v>0.23015619712225147</c:v>
                </c:pt>
                <c:pt idx="145">
                  <c:v>0.22844264524381125</c:v>
                </c:pt>
                <c:pt idx="146">
                  <c:v>0.23212024881390714</c:v>
                </c:pt>
                <c:pt idx="147">
                  <c:v>0.19515146973507363</c:v>
                </c:pt>
                <c:pt idx="148">
                  <c:v>0.19673586024802853</c:v>
                </c:pt>
                <c:pt idx="149">
                  <c:v>0.19813150206451424</c:v>
                </c:pt>
                <c:pt idx="150">
                  <c:v>0.19537500544879327</c:v>
                </c:pt>
                <c:pt idx="151">
                  <c:v>0.19960487372337343</c:v>
                </c:pt>
                <c:pt idx="152">
                  <c:v>0.21645543856742652</c:v>
                </c:pt>
                <c:pt idx="153">
                  <c:v>0.21686672430726386</c:v>
                </c:pt>
                <c:pt idx="154">
                  <c:v>0.22368817543348898</c:v>
                </c:pt>
                <c:pt idx="155">
                  <c:v>0.20407837607214557</c:v>
                </c:pt>
                <c:pt idx="156">
                  <c:v>0.21229919538080108</c:v>
                </c:pt>
                <c:pt idx="157">
                  <c:v>0.19176381456492236</c:v>
                </c:pt>
                <c:pt idx="158">
                  <c:v>0.21474285945914259</c:v>
                </c:pt>
                <c:pt idx="159">
                  <c:v>0.23669255454522564</c:v>
                </c:pt>
                <c:pt idx="160">
                  <c:v>0.24959343413329205</c:v>
                </c:pt>
                <c:pt idx="161">
                  <c:v>0.25507541409869766</c:v>
                </c:pt>
                <c:pt idx="162">
                  <c:v>0.26181793761342592</c:v>
                </c:pt>
                <c:pt idx="163">
                  <c:v>0.25727014166036744</c:v>
                </c:pt>
                <c:pt idx="164">
                  <c:v>0.26087649519292494</c:v>
                </c:pt>
                <c:pt idx="165">
                  <c:v>0.2504380977784128</c:v>
                </c:pt>
                <c:pt idx="166">
                  <c:v>0.23265956791120196</c:v>
                </c:pt>
                <c:pt idx="167">
                  <c:v>0.22311395469956849</c:v>
                </c:pt>
                <c:pt idx="168">
                  <c:v>0.19515967426102904</c:v>
                </c:pt>
                <c:pt idx="169">
                  <c:v>0.17577811151162298</c:v>
                </c:pt>
                <c:pt idx="170">
                  <c:v>0.20309553384217707</c:v>
                </c:pt>
                <c:pt idx="171">
                  <c:v>0.18427501916004257</c:v>
                </c:pt>
                <c:pt idx="172">
                  <c:v>0.2152635830366727</c:v>
                </c:pt>
                <c:pt idx="173">
                  <c:v>0.20725191341481</c:v>
                </c:pt>
                <c:pt idx="174">
                  <c:v>0.21686177698009818</c:v>
                </c:pt>
                <c:pt idx="175">
                  <c:v>0.22593908845086569</c:v>
                </c:pt>
                <c:pt idx="176">
                  <c:v>0.2300056788263406</c:v>
                </c:pt>
                <c:pt idx="177">
                  <c:v>0.2758718287781709</c:v>
                </c:pt>
                <c:pt idx="178">
                  <c:v>0.27502985343236602</c:v>
                </c:pt>
                <c:pt idx="179">
                  <c:v>0.27901471950863149</c:v>
                </c:pt>
                <c:pt idx="180">
                  <c:v>0.28537989959881427</c:v>
                </c:pt>
                <c:pt idx="181">
                  <c:v>0.27811033226424559</c:v>
                </c:pt>
                <c:pt idx="182">
                  <c:v>0.2747281173955371</c:v>
                </c:pt>
                <c:pt idx="183">
                  <c:v>0.2984341231576198</c:v>
                </c:pt>
                <c:pt idx="184">
                  <c:v>0.29681133452936032</c:v>
                </c:pt>
                <c:pt idx="185">
                  <c:v>0.3031550316847762</c:v>
                </c:pt>
                <c:pt idx="186">
                  <c:v>0.31127023502174156</c:v>
                </c:pt>
                <c:pt idx="187">
                  <c:v>0.34739318236520372</c:v>
                </c:pt>
                <c:pt idx="188">
                  <c:v>0.35643459206491518</c:v>
                </c:pt>
                <c:pt idx="189">
                  <c:v>0.3658571294641858</c:v>
                </c:pt>
                <c:pt idx="190">
                  <c:v>0.37372342190565477</c:v>
                </c:pt>
                <c:pt idx="191">
                  <c:v>0.37763854986826206</c:v>
                </c:pt>
                <c:pt idx="192">
                  <c:v>0.3931049364376768</c:v>
                </c:pt>
                <c:pt idx="193">
                  <c:v>0.38593694087491748</c:v>
                </c:pt>
                <c:pt idx="194">
                  <c:v>0.38051754301134932</c:v>
                </c:pt>
                <c:pt idx="195">
                  <c:v>0.38164903021023511</c:v>
                </c:pt>
                <c:pt idx="196">
                  <c:v>0.38130346837715429</c:v>
                </c:pt>
                <c:pt idx="197">
                  <c:v>0.37592780896872652</c:v>
                </c:pt>
                <c:pt idx="198">
                  <c:v>0.37551583337563693</c:v>
                </c:pt>
                <c:pt idx="199">
                  <c:v>0.37951471275863391</c:v>
                </c:pt>
                <c:pt idx="200">
                  <c:v>0.38279332702879554</c:v>
                </c:pt>
                <c:pt idx="201">
                  <c:v>0.38738656575532371</c:v>
                </c:pt>
                <c:pt idx="202">
                  <c:v>0.38745297951533253</c:v>
                </c:pt>
                <c:pt idx="203">
                  <c:v>0.3761006074086865</c:v>
                </c:pt>
                <c:pt idx="204">
                  <c:v>0.36563535841561612</c:v>
                </c:pt>
                <c:pt idx="205">
                  <c:v>0.36575364149742623</c:v>
                </c:pt>
                <c:pt idx="206">
                  <c:v>0.36513594095908469</c:v>
                </c:pt>
                <c:pt idx="207">
                  <c:v>0.36546450507522371</c:v>
                </c:pt>
                <c:pt idx="208">
                  <c:v>0.36560907328632519</c:v>
                </c:pt>
                <c:pt idx="209">
                  <c:v>0.36597706509640104</c:v>
                </c:pt>
                <c:pt idx="210">
                  <c:v>0.36660790819938815</c:v>
                </c:pt>
                <c:pt idx="211">
                  <c:v>0.36517405439655687</c:v>
                </c:pt>
                <c:pt idx="212">
                  <c:v>0.36334961893193879</c:v>
                </c:pt>
                <c:pt idx="213">
                  <c:v>0.36326305122824026</c:v>
                </c:pt>
                <c:pt idx="214">
                  <c:v>0.36285568444234961</c:v>
                </c:pt>
                <c:pt idx="215">
                  <c:v>0.35840265463063714</c:v>
                </c:pt>
                <c:pt idx="216">
                  <c:v>0.35311028398534011</c:v>
                </c:pt>
                <c:pt idx="217">
                  <c:v>0.35993055650734201</c:v>
                </c:pt>
                <c:pt idx="218">
                  <c:v>0.35205482545209021</c:v>
                </c:pt>
                <c:pt idx="219">
                  <c:v>0.35123379933705423</c:v>
                </c:pt>
                <c:pt idx="220">
                  <c:v>0.35660155987758335</c:v>
                </c:pt>
                <c:pt idx="221">
                  <c:v>0.3675884007133875</c:v>
                </c:pt>
                <c:pt idx="222">
                  <c:v>0.35689811356946838</c:v>
                </c:pt>
                <c:pt idx="223">
                  <c:v>0.35326424962059566</c:v>
                </c:pt>
                <c:pt idx="224">
                  <c:v>0.35804564955332302</c:v>
                </c:pt>
                <c:pt idx="225">
                  <c:v>0.36764032541832892</c:v>
                </c:pt>
                <c:pt idx="226">
                  <c:v>0.37607535530111913</c:v>
                </c:pt>
                <c:pt idx="227">
                  <c:v>0.38131976378620425</c:v>
                </c:pt>
                <c:pt idx="228">
                  <c:v>0.37121924824713365</c:v>
                </c:pt>
                <c:pt idx="229">
                  <c:v>0.37686599315480285</c:v>
                </c:pt>
                <c:pt idx="230">
                  <c:v>0.37235608255745967</c:v>
                </c:pt>
                <c:pt idx="231">
                  <c:v>0.35436790180353323</c:v>
                </c:pt>
                <c:pt idx="232">
                  <c:v>0.35508368636929438</c:v>
                </c:pt>
                <c:pt idx="233">
                  <c:v>0.3647537955028094</c:v>
                </c:pt>
                <c:pt idx="234">
                  <c:v>0.37470048753519902</c:v>
                </c:pt>
                <c:pt idx="235">
                  <c:v>0.37083150821569383</c:v>
                </c:pt>
                <c:pt idx="236">
                  <c:v>0.37178471278122371</c:v>
                </c:pt>
                <c:pt idx="237">
                  <c:v>0.38395705072865433</c:v>
                </c:pt>
                <c:pt idx="238">
                  <c:v>0.3792374228134861</c:v>
                </c:pt>
                <c:pt idx="239">
                  <c:v>0.37672366210084973</c:v>
                </c:pt>
                <c:pt idx="240">
                  <c:v>0.35433600796884662</c:v>
                </c:pt>
                <c:pt idx="241">
                  <c:v>0.34286381142795563</c:v>
                </c:pt>
                <c:pt idx="242">
                  <c:v>0.34179251072156364</c:v>
                </c:pt>
                <c:pt idx="243">
                  <c:v>0.34892045636645552</c:v>
                </c:pt>
                <c:pt idx="244">
                  <c:v>0.34970495215932523</c:v>
                </c:pt>
                <c:pt idx="245">
                  <c:v>0.3417629866863483</c:v>
                </c:pt>
                <c:pt idx="246">
                  <c:v>0.34027834948693875</c:v>
                </c:pt>
                <c:pt idx="247">
                  <c:v>0.35041037415044912</c:v>
                </c:pt>
                <c:pt idx="248">
                  <c:v>0.35374424507786378</c:v>
                </c:pt>
                <c:pt idx="249">
                  <c:v>0.36824898180732107</c:v>
                </c:pt>
                <c:pt idx="250">
                  <c:v>0.38436910503499933</c:v>
                </c:pt>
                <c:pt idx="251">
                  <c:v>0.38877662172074601</c:v>
                </c:pt>
                <c:pt idx="252">
                  <c:v>0.41010584762571106</c:v>
                </c:pt>
                <c:pt idx="253">
                  <c:v>0.40345872198290084</c:v>
                </c:pt>
                <c:pt idx="254">
                  <c:v>0.42878612647850745</c:v>
                </c:pt>
                <c:pt idx="255">
                  <c:v>0.44071805442489731</c:v>
                </c:pt>
                <c:pt idx="256">
                  <c:v>0.4569731446707036</c:v>
                </c:pt>
                <c:pt idx="257">
                  <c:v>0.46099450384670865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1B-4506-BE57-6F79EBAFB1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4794896"/>
        <c:axId val="845453112"/>
      </c:lineChart>
      <c:dateAx>
        <c:axId val="96479489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45453112"/>
        <c:crosses val="autoZero"/>
        <c:auto val="1"/>
        <c:lblOffset val="100"/>
        <c:baseTimeUnit val="days"/>
      </c:dateAx>
      <c:valAx>
        <c:axId val="845453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64794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394334</xdr:colOff>
      <xdr:row>6</xdr:row>
      <xdr:rowOff>83820</xdr:rowOff>
    </xdr:from>
    <xdr:to>
      <xdr:col>14</xdr:col>
      <xdr:colOff>594359</xdr:colOff>
      <xdr:row>25</xdr:row>
      <xdr:rowOff>133350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C2CD7ABF-1B55-41A9-93FA-8E2069B15E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AB1E3C5-F2A9-4E07-9E70-827DDAAAFD65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持仓金额" tableColumnId="2"/>
      <queryTableField id="3" name="账面现金" tableColumnId="3"/>
      <queryTableField id="4" name="基金申赎" tableColumnId="4"/>
      <queryTableField id="5" name="总资产" tableColumnId="5"/>
      <queryTableField id="6" name="份额确认" tableColumnId="6"/>
      <queryTableField id="7" name="基金份额" tableColumnId="7"/>
      <queryTableField id="8" name="基金净值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F9B26D-4C2A-4242-929E-F9D8A39BB5F1}" name="fund_value_simple" displayName="fund_value_simple" ref="A1:H629" tableType="queryTable" totalsRowShown="0">
  <autoFilter ref="A1:H629" xr:uid="{F89A3988-4C2B-406A-8FEF-D49657D1840A}"/>
  <tableColumns count="8">
    <tableColumn id="1" xr3:uid="{B1D306C2-4CCB-4974-A7C6-F0BFBD42C7D0}" uniqueName="1" name="Column1" queryTableFieldId="1" dataDxfId="0"/>
    <tableColumn id="2" xr3:uid="{BF81A543-C110-437C-811A-7413A8A86CDF}" uniqueName="2" name="持仓金额" queryTableFieldId="2"/>
    <tableColumn id="3" xr3:uid="{548E4F99-48AC-4912-BE6E-D0DBFD529B7C}" uniqueName="3" name="账面现金" queryTableFieldId="3"/>
    <tableColumn id="4" xr3:uid="{DB709676-CE0C-4F23-BE4B-D7402731C635}" uniqueName="4" name="基金申赎" queryTableFieldId="4"/>
    <tableColumn id="5" xr3:uid="{9FA839EE-30D7-4F60-992F-FF19C886D090}" uniqueName="5" name="总资产" queryTableFieldId="5"/>
    <tableColumn id="6" xr3:uid="{172576BC-4363-402D-83BA-FAF055B67387}" uniqueName="6" name="份额确认" queryTableFieldId="6"/>
    <tableColumn id="7" xr3:uid="{4C34ED84-1407-4D96-B0D8-C01598E155DE}" uniqueName="7" name="基金份额" queryTableFieldId="7"/>
    <tableColumn id="8" xr3:uid="{99D35C70-D7D9-465F-9984-045498C6BB09}" uniqueName="8" name="基金净值" queryTableField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"/>
  <sheetViews>
    <sheetView workbookViewId="0">
      <selection activeCell="G5" sqref="G5"/>
    </sheetView>
  </sheetViews>
  <sheetFormatPr defaultRowHeight="14.1" x14ac:dyDescent="0.5"/>
  <cols>
    <col min="1" max="1" width="10.34765625" bestFit="1" customWidth="1"/>
    <col min="4" max="4" width="17.44921875" customWidth="1"/>
  </cols>
  <sheetData>
    <row r="1" spans="1:7" x14ac:dyDescent="0.5">
      <c r="A1" s="7" t="s">
        <v>0</v>
      </c>
      <c r="B1" s="7" t="s">
        <v>2</v>
      </c>
      <c r="C1" s="7" t="s">
        <v>3</v>
      </c>
      <c r="D1" s="7" t="s">
        <v>6</v>
      </c>
      <c r="E1" s="7" t="s">
        <v>5</v>
      </c>
      <c r="F1" s="7" t="s">
        <v>7</v>
      </c>
      <c r="G1" s="7" t="s">
        <v>8</v>
      </c>
    </row>
    <row r="2" spans="1:7" x14ac:dyDescent="0.5">
      <c r="A2" s="1">
        <v>43431</v>
      </c>
      <c r="B2" t="s">
        <v>1</v>
      </c>
      <c r="C2">
        <v>30000</v>
      </c>
      <c r="D2" s="11">
        <v>0.78987832982762307</v>
      </c>
      <c r="E2" s="2">
        <f>C2/D2</f>
        <v>37980.533035444794</v>
      </c>
      <c r="F2">
        <v>30000</v>
      </c>
      <c r="G2" s="2">
        <v>37980.533035444794</v>
      </c>
    </row>
    <row r="3" spans="1:7" x14ac:dyDescent="0.5">
      <c r="A3" s="1">
        <v>43468</v>
      </c>
      <c r="B3" t="s">
        <v>1</v>
      </c>
      <c r="C3">
        <v>60000</v>
      </c>
      <c r="D3" s="2">
        <v>0.75417776413612547</v>
      </c>
      <c r="E3" s="2">
        <f t="shared" ref="E3:E4" si="0">C3/D3</f>
        <v>79556.84038063245</v>
      </c>
      <c r="F3">
        <v>90000</v>
      </c>
      <c r="G3">
        <f>G2+E3</f>
        <v>117537.37341607724</v>
      </c>
    </row>
    <row r="4" spans="1:7" x14ac:dyDescent="0.5">
      <c r="A4" s="1">
        <v>43921</v>
      </c>
      <c r="B4" t="s">
        <v>1</v>
      </c>
      <c r="C4">
        <v>100000</v>
      </c>
      <c r="D4" s="2">
        <v>1.2347331931180399</v>
      </c>
      <c r="E4" s="2">
        <f t="shared" si="0"/>
        <v>80989.156651302605</v>
      </c>
      <c r="F4">
        <v>190000</v>
      </c>
      <c r="G4">
        <f t="shared" ref="G4:G5" si="1">G3+E4</f>
        <v>198526.53006737985</v>
      </c>
    </row>
    <row r="5" spans="1:7" x14ac:dyDescent="0.5">
      <c r="A5" s="1">
        <v>44011</v>
      </c>
      <c r="B5" t="s">
        <v>13</v>
      </c>
      <c r="C5">
        <v>50000</v>
      </c>
      <c r="D5">
        <v>1.3162351548188764</v>
      </c>
      <c r="E5" s="2">
        <f>C5/D5</f>
        <v>37987.133087081515</v>
      </c>
      <c r="F5">
        <v>240000</v>
      </c>
      <c r="G5">
        <f t="shared" si="1"/>
        <v>236513.66315446136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A3DA7-F16D-4DB6-8C11-2FC655CFA17F}">
  <dimension ref="A1:O395"/>
  <sheetViews>
    <sheetView tabSelected="1" workbookViewId="0">
      <pane ySplit="1" topLeftCell="A372" activePane="bottomLeft" state="frozen"/>
      <selection pane="bottomLeft" activeCell="F384" sqref="E384:F385"/>
    </sheetView>
  </sheetViews>
  <sheetFormatPr defaultRowHeight="14.1" x14ac:dyDescent="0.5"/>
  <cols>
    <col min="1" max="1" width="10.34765625" bestFit="1" customWidth="1"/>
    <col min="3" max="3" width="10.84765625" style="6" bestFit="1" customWidth="1"/>
    <col min="4" max="4" width="10.94921875" style="5" customWidth="1"/>
    <col min="6" max="6" width="8.19921875" style="4" bestFit="1" customWidth="1"/>
  </cols>
  <sheetData>
    <row r="1" spans="1:15" x14ac:dyDescent="0.5">
      <c r="A1" s="7" t="s">
        <v>12</v>
      </c>
      <c r="B1" s="7" t="s">
        <v>8</v>
      </c>
      <c r="C1" s="8" t="s">
        <v>4</v>
      </c>
      <c r="D1" s="9" t="s">
        <v>9</v>
      </c>
      <c r="E1" s="7" t="s">
        <v>10</v>
      </c>
      <c r="F1" s="10" t="s">
        <v>11</v>
      </c>
    </row>
    <row r="2" spans="1:15" x14ac:dyDescent="0.5">
      <c r="A2" s="1">
        <v>43431</v>
      </c>
      <c r="B2" s="2">
        <v>37980.533035444794</v>
      </c>
      <c r="C2" s="6">
        <f>VLOOKUP(A2,fund_value_simple[],8,FALSE)</f>
        <v>0.79097449557585398</v>
      </c>
      <c r="D2" s="5">
        <f>B2*C2</f>
        <v>30041.632959413004</v>
      </c>
      <c r="E2">
        <v>30000</v>
      </c>
      <c r="F2" s="4">
        <f>(D2-E2)/E2</f>
        <v>1.3877653137667949E-3</v>
      </c>
    </row>
    <row r="3" spans="1:15" x14ac:dyDescent="0.5">
      <c r="A3" s="3">
        <v>43432</v>
      </c>
      <c r="B3" s="2">
        <v>37980.533035444794</v>
      </c>
      <c r="C3" s="6">
        <f>VLOOKUP(A3,fund_value_simple[],8,FALSE)</f>
        <v>0.79955230544798006</v>
      </c>
      <c r="D3" s="5">
        <f t="shared" ref="D3:D66" si="0">B3*C3</f>
        <v>30367.422750633054</v>
      </c>
      <c r="E3">
        <v>30000</v>
      </c>
      <c r="F3" s="4">
        <f t="shared" ref="F3:F66" si="1">(D3-E3)/E3</f>
        <v>1.2247425021101785E-2</v>
      </c>
    </row>
    <row r="4" spans="1:15" x14ac:dyDescent="0.5">
      <c r="A4" s="3">
        <v>43433</v>
      </c>
      <c r="B4" s="2">
        <v>37980.533035444794</v>
      </c>
      <c r="C4" s="6">
        <f>VLOOKUP(A4,fund_value_simple[],8,FALSE)</f>
        <v>0.79306526747218775</v>
      </c>
      <c r="D4" s="5">
        <f t="shared" si="0"/>
        <v>30121.041590491288</v>
      </c>
      <c r="E4">
        <v>30000</v>
      </c>
      <c r="F4" s="4">
        <f t="shared" si="1"/>
        <v>4.0347196830429312E-3</v>
      </c>
    </row>
    <row r="5" spans="1:15" x14ac:dyDescent="0.5">
      <c r="A5" s="3">
        <v>43434</v>
      </c>
      <c r="B5" s="2">
        <v>37980.533035444794</v>
      </c>
      <c r="C5" s="6">
        <f>VLOOKUP(A5,fund_value_simple[],8,FALSE)</f>
        <v>0.79836044682876917</v>
      </c>
      <c r="D5" s="5">
        <f t="shared" si="0"/>
        <v>30322.155324972533</v>
      </c>
      <c r="E5">
        <v>30000</v>
      </c>
      <c r="F5" s="4">
        <f t="shared" si="1"/>
        <v>1.0738510832417766E-2</v>
      </c>
    </row>
    <row r="6" spans="1:15" x14ac:dyDescent="0.5">
      <c r="A6" s="3">
        <v>43437</v>
      </c>
      <c r="B6" s="2">
        <v>37980.533035444794</v>
      </c>
      <c r="C6" s="6">
        <f>VLOOKUP(A6,fund_value_simple[],8,FALSE)</f>
        <v>0.81486720632933163</v>
      </c>
      <c r="D6" s="5">
        <f t="shared" si="0"/>
        <v>30949.090849491789</v>
      </c>
      <c r="E6">
        <v>30000</v>
      </c>
      <c r="F6" s="4">
        <f t="shared" si="1"/>
        <v>3.1636361649726316E-2</v>
      </c>
    </row>
    <row r="7" spans="1:15" x14ac:dyDescent="0.5">
      <c r="A7" s="3">
        <v>43438</v>
      </c>
      <c r="B7" s="2">
        <v>37980.533035444794</v>
      </c>
      <c r="C7" s="6">
        <f>VLOOKUP(A7,fund_value_simple[],8,FALSE)</f>
        <v>0.81489732220562106</v>
      </c>
      <c r="D7" s="5">
        <f t="shared" si="0"/>
        <v>30950.234666526092</v>
      </c>
      <c r="E7">
        <v>30000</v>
      </c>
      <c r="F7" s="4">
        <f t="shared" si="1"/>
        <v>3.1674488884203066E-2</v>
      </c>
    </row>
    <row r="8" spans="1:15" x14ac:dyDescent="0.5">
      <c r="A8" s="3">
        <v>43439</v>
      </c>
      <c r="B8" s="2">
        <v>37980.533035444794</v>
      </c>
      <c r="C8" s="6">
        <f>VLOOKUP(A8,fund_value_simple[],8,FALSE)</f>
        <v>0.81164324310525959</v>
      </c>
      <c r="D8" s="5">
        <f t="shared" si="0"/>
        <v>30826.643007754861</v>
      </c>
      <c r="E8">
        <v>30000</v>
      </c>
      <c r="F8" s="4">
        <f t="shared" si="1"/>
        <v>2.7554766925162039E-2</v>
      </c>
    </row>
    <row r="9" spans="1:15" x14ac:dyDescent="0.5">
      <c r="A9" s="3">
        <v>43440</v>
      </c>
      <c r="B9" s="2">
        <v>37980.533035444794</v>
      </c>
      <c r="C9" s="6">
        <f>VLOOKUP(A9,fund_value_simple[],8,FALSE)</f>
        <v>0.80023727866886529</v>
      </c>
      <c r="D9" s="5">
        <f t="shared" si="0"/>
        <v>30393.438398677281</v>
      </c>
      <c r="E9">
        <v>30000</v>
      </c>
      <c r="F9" s="4">
        <f t="shared" si="1"/>
        <v>1.3114613289242698E-2</v>
      </c>
    </row>
    <row r="10" spans="1:15" x14ac:dyDescent="0.5">
      <c r="A10" s="3">
        <v>43441</v>
      </c>
      <c r="B10" s="2">
        <v>37980.533035444794</v>
      </c>
      <c r="C10" s="6">
        <f>VLOOKUP(A10,fund_value_simple[],8,FALSE)</f>
        <v>0.7992126870162316</v>
      </c>
      <c r="D10" s="5">
        <f t="shared" si="0"/>
        <v>30354.523861566584</v>
      </c>
      <c r="E10">
        <v>30000</v>
      </c>
      <c r="F10" s="4">
        <f t="shared" si="1"/>
        <v>1.1817462052219466E-2</v>
      </c>
    </row>
    <row r="11" spans="1:15" x14ac:dyDescent="0.5">
      <c r="A11" s="3">
        <v>43444</v>
      </c>
      <c r="B11" s="2">
        <v>37980.533035444794</v>
      </c>
      <c r="C11" s="6">
        <f>VLOOKUP(A11,fund_value_simple[],8,FALSE)</f>
        <v>0.79206831463242566</v>
      </c>
      <c r="D11" s="5">
        <f t="shared" si="0"/>
        <v>30083.176790225923</v>
      </c>
      <c r="E11">
        <v>30000</v>
      </c>
      <c r="F11" s="4">
        <f t="shared" si="1"/>
        <v>2.7725596741974491E-3</v>
      </c>
    </row>
    <row r="12" spans="1:15" x14ac:dyDescent="0.5">
      <c r="A12" s="3">
        <v>43445</v>
      </c>
      <c r="B12" s="2">
        <v>37980.533035444794</v>
      </c>
      <c r="C12" s="6">
        <f>VLOOKUP(A12,fund_value_simple[],8,FALSE)</f>
        <v>0.79505904277995321</v>
      </c>
      <c r="D12" s="5">
        <f t="shared" si="0"/>
        <v>30196.766239433127</v>
      </c>
      <c r="E12">
        <v>30000</v>
      </c>
      <c r="F12" s="4">
        <f t="shared" si="1"/>
        <v>6.5588746477709117E-3</v>
      </c>
    </row>
    <row r="13" spans="1:15" x14ac:dyDescent="0.5">
      <c r="A13" s="3">
        <v>43446</v>
      </c>
      <c r="B13" s="2">
        <v>37980.533035444794</v>
      </c>
      <c r="C13" s="6">
        <f>VLOOKUP(A13,fund_value_simple[],8,FALSE)</f>
        <v>0.79629353296430094</v>
      </c>
      <c r="D13" s="5">
        <f t="shared" si="0"/>
        <v>30243.65283466168</v>
      </c>
      <c r="E13">
        <v>30000</v>
      </c>
      <c r="F13" s="4">
        <f t="shared" si="1"/>
        <v>8.1217611553893228E-3</v>
      </c>
    </row>
    <row r="14" spans="1:15" x14ac:dyDescent="0.5">
      <c r="A14" s="3">
        <v>43447</v>
      </c>
      <c r="B14" s="2">
        <v>37980.533035444794</v>
      </c>
      <c r="C14" s="6">
        <f>VLOOKUP(A14,fund_value_simple[],8,FALSE)</f>
        <v>0.80606906818478519</v>
      </c>
      <c r="D14" s="5">
        <f t="shared" si="0"/>
        <v>30614.932873042435</v>
      </c>
      <c r="E14">
        <v>30000</v>
      </c>
      <c r="F14" s="4">
        <f t="shared" si="1"/>
        <v>2.0497762434747831E-2</v>
      </c>
    </row>
    <row r="15" spans="1:15" x14ac:dyDescent="0.5">
      <c r="A15" s="3">
        <v>43448</v>
      </c>
      <c r="B15" s="2">
        <v>37980.533035444794</v>
      </c>
      <c r="C15" s="6">
        <f>VLOOKUP(A15,fund_value_simple[],8,FALSE)</f>
        <v>0.79585412980700221</v>
      </c>
      <c r="D15" s="5">
        <f t="shared" si="0"/>
        <v>30226.964068530018</v>
      </c>
      <c r="E15">
        <v>30000</v>
      </c>
      <c r="F15" s="4">
        <f t="shared" si="1"/>
        <v>7.5654689510006087E-3</v>
      </c>
    </row>
    <row r="16" spans="1:15" x14ac:dyDescent="0.5">
      <c r="A16" s="3">
        <v>43451</v>
      </c>
      <c r="B16" s="2">
        <v>37980.533035444794</v>
      </c>
      <c r="C16" s="6">
        <f>VLOOKUP(A16,fund_value_simple[],8,FALSE)</f>
        <v>0.7947671424394972</v>
      </c>
      <c r="D16" s="5">
        <f t="shared" si="0"/>
        <v>30185.679708909382</v>
      </c>
      <c r="E16">
        <v>30000</v>
      </c>
      <c r="F16" s="4">
        <f t="shared" si="1"/>
        <v>6.1893236303127196E-3</v>
      </c>
      <c r="O16">
        <v>3</v>
      </c>
    </row>
    <row r="17" spans="1:6" x14ac:dyDescent="0.5">
      <c r="A17" s="3">
        <v>43452</v>
      </c>
      <c r="B17" s="2">
        <v>37980.533035444794</v>
      </c>
      <c r="C17" s="6">
        <f>VLOOKUP(A17,fund_value_simple[],8,FALSE)</f>
        <v>0.78735308532206105</v>
      </c>
      <c r="D17" s="5">
        <f t="shared" si="0"/>
        <v>29904.089867633924</v>
      </c>
      <c r="E17">
        <v>30000</v>
      </c>
      <c r="F17" s="4">
        <f t="shared" si="1"/>
        <v>-3.197004412202538E-3</v>
      </c>
    </row>
    <row r="18" spans="1:6" x14ac:dyDescent="0.5">
      <c r="A18" s="3">
        <v>43453</v>
      </c>
      <c r="B18" s="2">
        <v>37980.533035444794</v>
      </c>
      <c r="C18" s="6">
        <f>VLOOKUP(A18,fund_value_simple[],8,FALSE)</f>
        <v>0.77966849773498692</v>
      </c>
      <c r="D18" s="5">
        <f t="shared" si="0"/>
        <v>29612.225134919285</v>
      </c>
      <c r="E18">
        <v>30000</v>
      </c>
      <c r="F18" s="4">
        <f t="shared" si="1"/>
        <v>-1.2925828836023841E-2</v>
      </c>
    </row>
    <row r="19" spans="1:6" x14ac:dyDescent="0.5">
      <c r="A19" s="3">
        <v>43454</v>
      </c>
      <c r="B19" s="2">
        <v>37980.533035444794</v>
      </c>
      <c r="C19" s="6">
        <f>VLOOKUP(A19,fund_value_simple[],8,FALSE)</f>
        <v>0.77522762695504466</v>
      </c>
      <c r="D19" s="5">
        <f t="shared" si="0"/>
        <v>29443.558495555546</v>
      </c>
      <c r="E19">
        <v>30000</v>
      </c>
      <c r="F19" s="4">
        <f t="shared" si="1"/>
        <v>-1.8548050148148469E-2</v>
      </c>
    </row>
    <row r="20" spans="1:6" x14ac:dyDescent="0.5">
      <c r="A20" s="3">
        <v>43455</v>
      </c>
      <c r="B20" s="2">
        <v>37980.533035444794</v>
      </c>
      <c r="C20" s="6">
        <f>VLOOKUP(A20,fund_value_simple[],8,FALSE)</f>
        <v>0.76716016726011038</v>
      </c>
      <c r="D20" s="5">
        <f t="shared" si="0"/>
        <v>29137.152076099977</v>
      </c>
      <c r="E20">
        <v>30000</v>
      </c>
      <c r="F20" s="4">
        <f t="shared" si="1"/>
        <v>-2.8761597463334086E-2</v>
      </c>
    </row>
    <row r="21" spans="1:6" x14ac:dyDescent="0.5">
      <c r="A21" s="3">
        <v>43458</v>
      </c>
      <c r="B21" s="2">
        <v>37980.533035444794</v>
      </c>
      <c r="C21" s="6">
        <f>VLOOKUP(A21,fund_value_simple[],8,FALSE)</f>
        <v>0.76927089324732278</v>
      </c>
      <c r="D21" s="5">
        <f t="shared" si="0"/>
        <v>29217.318574186069</v>
      </c>
      <c r="E21">
        <v>30000</v>
      </c>
      <c r="F21" s="4">
        <f t="shared" si="1"/>
        <v>-2.6089380860464372E-2</v>
      </c>
    </row>
    <row r="22" spans="1:6" x14ac:dyDescent="0.5">
      <c r="A22" s="3">
        <v>43459</v>
      </c>
      <c r="B22" s="2">
        <v>37980.533035444794</v>
      </c>
      <c r="C22" s="6">
        <f>VLOOKUP(A22,fund_value_simple[],8,FALSE)</f>
        <v>0.7643755323423076</v>
      </c>
      <c r="D22" s="5">
        <f t="shared" si="0"/>
        <v>29031.390157612714</v>
      </c>
      <c r="E22">
        <v>30000</v>
      </c>
      <c r="F22" s="4">
        <f t="shared" si="1"/>
        <v>-3.2286994746242879E-2</v>
      </c>
    </row>
    <row r="23" spans="1:6" x14ac:dyDescent="0.5">
      <c r="A23" s="3">
        <v>43460</v>
      </c>
      <c r="B23" s="2">
        <v>37980.533035444794</v>
      </c>
      <c r="C23" s="6">
        <f>VLOOKUP(A23,fund_value_simple[],8,FALSE)</f>
        <v>0.7606459393508902</v>
      </c>
      <c r="D23" s="5">
        <f t="shared" si="0"/>
        <v>28889.738227793423</v>
      </c>
      <c r="E23">
        <v>30000</v>
      </c>
      <c r="F23" s="4">
        <f t="shared" si="1"/>
        <v>-3.7008725740219232E-2</v>
      </c>
    </row>
    <row r="24" spans="1:6" x14ac:dyDescent="0.5">
      <c r="A24" s="3">
        <v>43461</v>
      </c>
      <c r="B24" s="2">
        <v>37980.533035444794</v>
      </c>
      <c r="C24" s="6">
        <f>VLOOKUP(A24,fund_value_simple[],8,FALSE)</f>
        <v>0.75952554887229817</v>
      </c>
      <c r="D24" s="5">
        <f t="shared" si="0"/>
        <v>28847.18520020866</v>
      </c>
      <c r="E24">
        <v>30000</v>
      </c>
      <c r="F24" s="4">
        <f t="shared" si="1"/>
        <v>-3.842715999304467E-2</v>
      </c>
    </row>
    <row r="25" spans="1:6" x14ac:dyDescent="0.5">
      <c r="A25" s="3">
        <v>43462</v>
      </c>
      <c r="B25" s="2">
        <v>37980.533035444794</v>
      </c>
      <c r="C25" s="6">
        <f>VLOOKUP(A25,fund_value_simple[],8,FALSE)</f>
        <v>0.76111159826725772</v>
      </c>
      <c r="D25" s="5">
        <f t="shared" si="0"/>
        <v>28907.42420164977</v>
      </c>
      <c r="E25">
        <v>30000</v>
      </c>
      <c r="F25" s="4">
        <f t="shared" si="1"/>
        <v>-3.6419193278340999E-2</v>
      </c>
    </row>
    <row r="26" spans="1:6" x14ac:dyDescent="0.5">
      <c r="A26" s="3">
        <v>43467</v>
      </c>
      <c r="B26" s="2">
        <v>37980.533035444794</v>
      </c>
      <c r="C26" s="6">
        <f>VLOOKUP(A26,fund_value_simple[],8,FALSE)</f>
        <v>0.75417776413612547</v>
      </c>
      <c r="D26" s="5">
        <f t="shared" si="0"/>
        <v>28644.073485370005</v>
      </c>
      <c r="E26">
        <v>30000</v>
      </c>
      <c r="F26" s="4">
        <f t="shared" si="1"/>
        <v>-4.51975504876665E-2</v>
      </c>
    </row>
    <row r="27" spans="1:6" x14ac:dyDescent="0.5">
      <c r="A27" s="3">
        <v>43468</v>
      </c>
      <c r="B27">
        <v>117537.37341607724</v>
      </c>
      <c r="C27" s="6">
        <f>VLOOKUP(A27,fund_value_simple[],8,FALSE)</f>
        <v>0.75629613105503435</v>
      </c>
      <c r="D27" s="5">
        <f t="shared" si="0"/>
        <v>88893.060768950061</v>
      </c>
      <c r="E27">
        <v>90000</v>
      </c>
      <c r="F27" s="4">
        <f t="shared" si="1"/>
        <v>-1.2299324789443764E-2</v>
      </c>
    </row>
    <row r="28" spans="1:6" x14ac:dyDescent="0.5">
      <c r="A28" s="3">
        <v>43469</v>
      </c>
      <c r="B28">
        <v>117537.37341607724</v>
      </c>
      <c r="C28" s="6">
        <f>VLOOKUP(A28,fund_value_simple[],8,FALSE)</f>
        <v>0.77130086828196887</v>
      </c>
      <c r="D28" s="5">
        <f t="shared" si="0"/>
        <v>90656.678171402382</v>
      </c>
      <c r="E28">
        <v>90000</v>
      </c>
      <c r="F28" s="4">
        <f t="shared" si="1"/>
        <v>7.2964241266931318E-3</v>
      </c>
    </row>
    <row r="29" spans="1:6" x14ac:dyDescent="0.5">
      <c r="A29" s="3">
        <v>43472</v>
      </c>
      <c r="B29">
        <v>117537.37341607724</v>
      </c>
      <c r="C29" s="6">
        <f>VLOOKUP(A29,fund_value_simple[],8,FALSE)</f>
        <v>0.7777005253486069</v>
      </c>
      <c r="D29" s="5">
        <f t="shared" si="0"/>
        <v>91408.877053778648</v>
      </c>
      <c r="E29">
        <v>90000</v>
      </c>
      <c r="F29" s="4">
        <f t="shared" si="1"/>
        <v>1.565418948642942E-2</v>
      </c>
    </row>
    <row r="30" spans="1:6" x14ac:dyDescent="0.5">
      <c r="A30" s="3">
        <v>43473</v>
      </c>
      <c r="B30">
        <v>117537.37341607724</v>
      </c>
      <c r="C30" s="6">
        <f>VLOOKUP(A30,fund_value_simple[],8,FALSE)</f>
        <v>0.77634692750289258</v>
      </c>
      <c r="D30" s="5">
        <f t="shared" si="0"/>
        <v>91249.778718331727</v>
      </c>
      <c r="E30">
        <v>90000</v>
      </c>
      <c r="F30" s="4">
        <f t="shared" si="1"/>
        <v>1.3886430203685855E-2</v>
      </c>
    </row>
    <row r="31" spans="1:6" x14ac:dyDescent="0.5">
      <c r="A31" s="3">
        <v>43474</v>
      </c>
      <c r="B31">
        <v>117537.37341607724</v>
      </c>
      <c r="C31" s="6">
        <f>VLOOKUP(A31,fund_value_simple[],8,FALSE)</f>
        <v>0.779752057802649</v>
      </c>
      <c r="D31" s="5">
        <f t="shared" si="0"/>
        <v>91650.008789904605</v>
      </c>
      <c r="E31">
        <v>90000</v>
      </c>
      <c r="F31" s="4">
        <f t="shared" si="1"/>
        <v>1.8333430998940053E-2</v>
      </c>
    </row>
    <row r="32" spans="1:6" x14ac:dyDescent="0.5">
      <c r="A32" s="3">
        <v>43475</v>
      </c>
      <c r="B32">
        <v>117537.37341607724</v>
      </c>
      <c r="C32" s="6">
        <f>VLOOKUP(A32,fund_value_simple[],8,FALSE)</f>
        <v>0.77944244857223999</v>
      </c>
      <c r="D32" s="5">
        <f t="shared" si="0"/>
        <v>91613.618134176955</v>
      </c>
      <c r="E32">
        <v>90000</v>
      </c>
      <c r="F32" s="4">
        <f t="shared" si="1"/>
        <v>1.7929090379743946E-2</v>
      </c>
    </row>
    <row r="33" spans="1:6" x14ac:dyDescent="0.5">
      <c r="A33" s="3">
        <v>43476</v>
      </c>
      <c r="B33">
        <v>117537.37341607724</v>
      </c>
      <c r="C33" s="6">
        <f>VLOOKUP(A33,fund_value_simple[],8,FALSE)</f>
        <v>0.78524276614709743</v>
      </c>
      <c r="D33" s="5">
        <f t="shared" si="0"/>
        <v>92295.372226904816</v>
      </c>
      <c r="E33">
        <v>90000</v>
      </c>
      <c r="F33" s="4">
        <f t="shared" si="1"/>
        <v>2.5504135854497952E-2</v>
      </c>
    </row>
    <row r="34" spans="1:6" x14ac:dyDescent="0.5">
      <c r="A34" s="3">
        <v>43479</v>
      </c>
      <c r="B34">
        <v>117537.37341607724</v>
      </c>
      <c r="C34" s="6">
        <f>VLOOKUP(A34,fund_value_simple[],8,FALSE)</f>
        <v>0.77955303961837863</v>
      </c>
      <c r="D34" s="5">
        <f t="shared" si="0"/>
        <v>91626.61671526343</v>
      </c>
      <c r="E34">
        <v>90000</v>
      </c>
      <c r="F34" s="4">
        <f t="shared" si="1"/>
        <v>1.8073519058482552E-2</v>
      </c>
    </row>
    <row r="35" spans="1:6" x14ac:dyDescent="0.5">
      <c r="A35" s="3">
        <v>43480</v>
      </c>
      <c r="B35">
        <v>117537.37341607724</v>
      </c>
      <c r="C35" s="6">
        <f>VLOOKUP(A35,fund_value_simple[],8,FALSE)</f>
        <v>0.79041883839540317</v>
      </c>
      <c r="D35" s="5">
        <f t="shared" si="0"/>
        <v>92903.754163582518</v>
      </c>
      <c r="E35">
        <v>90000</v>
      </c>
      <c r="F35" s="4">
        <f t="shared" si="1"/>
        <v>3.226393515091687E-2</v>
      </c>
    </row>
    <row r="36" spans="1:6" x14ac:dyDescent="0.5">
      <c r="A36" s="3">
        <v>43481</v>
      </c>
      <c r="B36">
        <v>117537.37341607724</v>
      </c>
      <c r="C36" s="6">
        <f>VLOOKUP(A36,fund_value_simple[],8,FALSE)</f>
        <v>0.78058331859986496</v>
      </c>
      <c r="D36" s="5">
        <f t="shared" si="0"/>
        <v>91747.713000633128</v>
      </c>
      <c r="E36">
        <v>90000</v>
      </c>
      <c r="F36" s="4">
        <f t="shared" si="1"/>
        <v>1.941903334036809E-2</v>
      </c>
    </row>
    <row r="37" spans="1:6" x14ac:dyDescent="0.5">
      <c r="A37" s="3">
        <v>43482</v>
      </c>
      <c r="B37">
        <v>117537.37341607724</v>
      </c>
      <c r="C37" s="6">
        <f>VLOOKUP(A37,fund_value_simple[],8,FALSE)</f>
        <v>0.77639262628228889</v>
      </c>
      <c r="D37" s="5">
        <f t="shared" si="0"/>
        <v>91255.150032830294</v>
      </c>
      <c r="E37">
        <v>90000</v>
      </c>
      <c r="F37" s="4">
        <f t="shared" si="1"/>
        <v>1.3946111475892151E-2</v>
      </c>
    </row>
    <row r="38" spans="1:6" x14ac:dyDescent="0.5">
      <c r="A38" s="3">
        <v>43483</v>
      </c>
      <c r="B38">
        <v>117537.37341607724</v>
      </c>
      <c r="C38" s="6">
        <f>VLOOKUP(A38,fund_value_simple[],8,FALSE)</f>
        <v>0.79582203357730785</v>
      </c>
      <c r="D38" s="5">
        <f t="shared" si="0"/>
        <v>93538.831533317993</v>
      </c>
      <c r="E38">
        <v>90000</v>
      </c>
      <c r="F38" s="4">
        <f t="shared" si="1"/>
        <v>3.9320350370199916E-2</v>
      </c>
    </row>
    <row r="39" spans="1:6" x14ac:dyDescent="0.5">
      <c r="A39" s="3">
        <v>43486</v>
      </c>
      <c r="B39">
        <v>117537.37341607724</v>
      </c>
      <c r="C39" s="6">
        <f>VLOOKUP(A39,fund_value_simple[],8,FALSE)</f>
        <v>0.79937774135517436</v>
      </c>
      <c r="D39" s="5">
        <f t="shared" si="0"/>
        <v>93956.760086163544</v>
      </c>
      <c r="E39">
        <v>90000</v>
      </c>
      <c r="F39" s="4">
        <f t="shared" si="1"/>
        <v>4.3964000957372705E-2</v>
      </c>
    </row>
    <row r="40" spans="1:6" x14ac:dyDescent="0.5">
      <c r="A40" s="3">
        <v>43487</v>
      </c>
      <c r="B40">
        <v>117537.37341607724</v>
      </c>
      <c r="C40" s="6">
        <f>VLOOKUP(A40,fund_value_simple[],8,FALSE)</f>
        <v>0.79097396431811806</v>
      </c>
      <c r="D40" s="5">
        <f t="shared" si="0"/>
        <v>92969.002206453602</v>
      </c>
      <c r="E40">
        <v>90000</v>
      </c>
      <c r="F40" s="4">
        <f t="shared" si="1"/>
        <v>3.2988913405040024E-2</v>
      </c>
    </row>
    <row r="41" spans="1:6" x14ac:dyDescent="0.5">
      <c r="A41" s="3">
        <v>43488</v>
      </c>
      <c r="B41">
        <v>117537.37341607724</v>
      </c>
      <c r="C41" s="6">
        <f>VLOOKUP(A41,fund_value_simple[],8,FALSE)</f>
        <v>0.78983869239096882</v>
      </c>
      <c r="D41" s="5">
        <f t="shared" si="0"/>
        <v>92835.565326023469</v>
      </c>
      <c r="E41">
        <v>90000</v>
      </c>
      <c r="F41" s="4">
        <f t="shared" si="1"/>
        <v>3.1506281400260759E-2</v>
      </c>
    </row>
    <row r="42" spans="1:6" x14ac:dyDescent="0.5">
      <c r="A42" s="3">
        <v>43489</v>
      </c>
      <c r="B42">
        <v>117537.37341607724</v>
      </c>
      <c r="C42" s="6">
        <f>VLOOKUP(A42,fund_value_simple[],8,FALSE)</f>
        <v>0.79510022135674552</v>
      </c>
      <c r="D42" s="5">
        <f t="shared" si="0"/>
        <v>93453.991620813467</v>
      </c>
      <c r="E42">
        <v>90000</v>
      </c>
      <c r="F42" s="4">
        <f t="shared" si="1"/>
        <v>3.8377684675705195E-2</v>
      </c>
    </row>
    <row r="43" spans="1:6" x14ac:dyDescent="0.5">
      <c r="A43" s="3">
        <v>43490</v>
      </c>
      <c r="B43">
        <v>117537.37341607724</v>
      </c>
      <c r="C43" s="6">
        <f>VLOOKUP(A43,fund_value_simple[],8,FALSE)</f>
        <v>0.79855470633824965</v>
      </c>
      <c r="D43" s="5">
        <f t="shared" si="0"/>
        <v>93860.022712044753</v>
      </c>
      <c r="E43">
        <v>90000</v>
      </c>
      <c r="F43" s="4">
        <f t="shared" si="1"/>
        <v>4.2889141244941698E-2</v>
      </c>
    </row>
    <row r="44" spans="1:6" x14ac:dyDescent="0.5">
      <c r="A44" s="3">
        <v>43493</v>
      </c>
      <c r="B44">
        <v>117537.37341607724</v>
      </c>
      <c r="C44" s="6">
        <f>VLOOKUP(A44,fund_value_simple[],8,FALSE)</f>
        <v>0.79733043603822651</v>
      </c>
      <c r="D44" s="5">
        <f t="shared" si="0"/>
        <v>93716.125196628724</v>
      </c>
      <c r="E44">
        <v>90000</v>
      </c>
      <c r="F44" s="4">
        <f t="shared" si="1"/>
        <v>4.1290279962541372E-2</v>
      </c>
    </row>
    <row r="45" spans="1:6" x14ac:dyDescent="0.5">
      <c r="A45" s="3">
        <v>43494</v>
      </c>
      <c r="B45">
        <v>117537.37341607724</v>
      </c>
      <c r="C45" s="6">
        <f>VLOOKUP(A45,fund_value_simple[],8,FALSE)</f>
        <v>0.79748981053137069</v>
      </c>
      <c r="D45" s="5">
        <f t="shared" si="0"/>
        <v>93734.857655942411</v>
      </c>
      <c r="E45">
        <v>90000</v>
      </c>
      <c r="F45" s="4">
        <f t="shared" si="1"/>
        <v>4.1498418399360124E-2</v>
      </c>
    </row>
    <row r="46" spans="1:6" x14ac:dyDescent="0.5">
      <c r="A46" s="3">
        <v>43495</v>
      </c>
      <c r="B46">
        <v>117537.37341607724</v>
      </c>
      <c r="C46" s="6">
        <f>VLOOKUP(A46,fund_value_simple[],8,FALSE)</f>
        <v>0.7939999089958345</v>
      </c>
      <c r="D46" s="5">
        <f t="shared" si="0"/>
        <v>93324.663795974746</v>
      </c>
      <c r="E46">
        <v>90000</v>
      </c>
      <c r="F46" s="4">
        <f t="shared" si="1"/>
        <v>3.6940708844163846E-2</v>
      </c>
    </row>
    <row r="47" spans="1:6" x14ac:dyDescent="0.5">
      <c r="A47" s="3">
        <v>43496</v>
      </c>
      <c r="B47">
        <v>117537.37341607724</v>
      </c>
      <c r="C47" s="6">
        <f>VLOOKUP(A47,fund_value_simple[],8,FALSE)</f>
        <v>0.79843760321604695</v>
      </c>
      <c r="D47" s="5">
        <f t="shared" si="0"/>
        <v>93846.258718642232</v>
      </c>
      <c r="E47">
        <v>90000</v>
      </c>
      <c r="F47" s="4">
        <f t="shared" si="1"/>
        <v>4.2736207984913684E-2</v>
      </c>
    </row>
    <row r="48" spans="1:6" x14ac:dyDescent="0.5">
      <c r="A48" s="3">
        <v>43497</v>
      </c>
      <c r="B48">
        <v>117537.37341607724</v>
      </c>
      <c r="C48" s="6">
        <f>VLOOKUP(A48,fund_value_simple[],8,FALSE)</f>
        <v>0.80992776156657165</v>
      </c>
      <c r="D48" s="5">
        <f t="shared" si="0"/>
        <v>95196.781751297705</v>
      </c>
      <c r="E48">
        <v>90000</v>
      </c>
      <c r="F48" s="4">
        <f t="shared" si="1"/>
        <v>5.774201945886339E-2</v>
      </c>
    </row>
    <row r="49" spans="1:6" x14ac:dyDescent="0.5">
      <c r="A49" s="3">
        <v>43507</v>
      </c>
      <c r="B49">
        <v>117537.37341607724</v>
      </c>
      <c r="C49" s="6">
        <f>VLOOKUP(A49,fund_value_simple[],8,FALSE)</f>
        <v>0.81955192450740233</v>
      </c>
      <c r="D49" s="5">
        <f t="shared" si="0"/>
        <v>96327.980584691293</v>
      </c>
      <c r="E49">
        <v>90000</v>
      </c>
      <c r="F49" s="4">
        <f t="shared" si="1"/>
        <v>7.0310895385458816E-2</v>
      </c>
    </row>
    <row r="50" spans="1:6" x14ac:dyDescent="0.5">
      <c r="A50" s="3">
        <v>43508</v>
      </c>
      <c r="B50">
        <v>117537.37341607724</v>
      </c>
      <c r="C50" s="6">
        <f>VLOOKUP(A50,fund_value_simple[],8,FALSE)</f>
        <v>0.824438837729079</v>
      </c>
      <c r="D50" s="5">
        <f t="shared" si="0"/>
        <v>96902.375528879464</v>
      </c>
      <c r="E50">
        <v>90000</v>
      </c>
      <c r="F50" s="4">
        <f t="shared" si="1"/>
        <v>7.6693061431994045E-2</v>
      </c>
    </row>
    <row r="51" spans="1:6" x14ac:dyDescent="0.5">
      <c r="A51" s="3">
        <v>43509</v>
      </c>
      <c r="B51">
        <v>117537.37341607724</v>
      </c>
      <c r="C51" s="6">
        <f>VLOOKUP(A51,fund_value_simple[],8,FALSE)</f>
        <v>0.8383245260955503</v>
      </c>
      <c r="D51" s="5">
        <f t="shared" si="0"/>
        <v>98534.462867548689</v>
      </c>
      <c r="E51">
        <v>90000</v>
      </c>
      <c r="F51" s="4">
        <f t="shared" si="1"/>
        <v>9.4827365194985441E-2</v>
      </c>
    </row>
    <row r="52" spans="1:6" x14ac:dyDescent="0.5">
      <c r="A52" s="3">
        <v>43510</v>
      </c>
      <c r="B52">
        <v>117537.37341607724</v>
      </c>
      <c r="C52" s="6">
        <f>VLOOKUP(A52,fund_value_simple[],8,FALSE)</f>
        <v>0.83911077359506114</v>
      </c>
      <c r="D52" s="5">
        <f t="shared" si="0"/>
        <v>98626.876333496155</v>
      </c>
      <c r="E52">
        <v>90000</v>
      </c>
      <c r="F52" s="4">
        <f t="shared" si="1"/>
        <v>9.5854181483290612E-2</v>
      </c>
    </row>
    <row r="53" spans="1:6" x14ac:dyDescent="0.5">
      <c r="A53" s="3">
        <v>43511</v>
      </c>
      <c r="B53">
        <v>117537.37341607724</v>
      </c>
      <c r="C53" s="6">
        <f>VLOOKUP(A53,fund_value_simple[],8,FALSE)</f>
        <v>0.82872595447118125</v>
      </c>
      <c r="D53" s="5">
        <f t="shared" si="0"/>
        <v>97406.271970274262</v>
      </c>
      <c r="E53">
        <v>90000</v>
      </c>
      <c r="F53" s="4">
        <f t="shared" si="1"/>
        <v>8.2291910780825123E-2</v>
      </c>
    </row>
    <row r="54" spans="1:6" x14ac:dyDescent="0.5">
      <c r="A54" s="3">
        <v>43514</v>
      </c>
      <c r="B54">
        <v>117537.37341607724</v>
      </c>
      <c r="C54" s="6">
        <f>VLOOKUP(A54,fund_value_simple[],8,FALSE)</f>
        <v>0.84989362908748156</v>
      </c>
      <c r="D54" s="5">
        <f t="shared" si="0"/>
        <v>99894.264846000369</v>
      </c>
      <c r="E54">
        <v>90000</v>
      </c>
      <c r="F54" s="4">
        <f t="shared" si="1"/>
        <v>0.10993627606667077</v>
      </c>
    </row>
    <row r="55" spans="1:6" x14ac:dyDescent="0.5">
      <c r="A55" s="3">
        <v>43515</v>
      </c>
      <c r="B55">
        <v>117537.37341607724</v>
      </c>
      <c r="C55" s="6">
        <f>VLOOKUP(A55,fund_value_simple[],8,FALSE)</f>
        <v>0.84965622392851847</v>
      </c>
      <c r="D55" s="5">
        <f t="shared" si="0"/>
        <v>99866.360867180425</v>
      </c>
      <c r="E55">
        <v>90000</v>
      </c>
      <c r="F55" s="4">
        <f t="shared" si="1"/>
        <v>0.10962623185756028</v>
      </c>
    </row>
    <row r="56" spans="1:6" x14ac:dyDescent="0.5">
      <c r="A56" s="3">
        <v>43516</v>
      </c>
      <c r="B56">
        <v>117537.37341607724</v>
      </c>
      <c r="C56" s="6">
        <f>VLOOKUP(A56,fund_value_simple[],8,FALSE)</f>
        <v>0.85026835907853027</v>
      </c>
      <c r="D56" s="5">
        <f t="shared" si="0"/>
        <v>99938.309624888469</v>
      </c>
      <c r="E56">
        <v>90000</v>
      </c>
      <c r="F56" s="4">
        <f t="shared" si="1"/>
        <v>0.11042566249876076</v>
      </c>
    </row>
    <row r="57" spans="1:6" x14ac:dyDescent="0.5">
      <c r="A57" s="3">
        <v>43517</v>
      </c>
      <c r="B57">
        <v>117537.37341607724</v>
      </c>
      <c r="C57" s="6">
        <f>VLOOKUP(A57,fund_value_simple[],8,FALSE)</f>
        <v>0.84849398972152579</v>
      </c>
      <c r="D57" s="5">
        <f t="shared" si="0"/>
        <v>99729.754911196185</v>
      </c>
      <c r="E57">
        <v>90000</v>
      </c>
      <c r="F57" s="4">
        <f t="shared" si="1"/>
        <v>0.10810838790217983</v>
      </c>
    </row>
    <row r="58" spans="1:6" x14ac:dyDescent="0.5">
      <c r="A58" s="3">
        <v>43518</v>
      </c>
      <c r="B58">
        <v>117537.37341607724</v>
      </c>
      <c r="C58" s="6">
        <f>VLOOKUP(A58,fund_value_simple[],8,FALSE)</f>
        <v>0.86645600921013433</v>
      </c>
      <c r="D58" s="5">
        <f t="shared" si="0"/>
        <v>101840.96350313562</v>
      </c>
      <c r="E58">
        <v>90000</v>
      </c>
      <c r="F58" s="4">
        <f t="shared" si="1"/>
        <v>0.1315662611459513</v>
      </c>
    </row>
    <row r="59" spans="1:6" x14ac:dyDescent="0.5">
      <c r="A59" s="3">
        <v>43521</v>
      </c>
      <c r="B59">
        <v>117537.37341607724</v>
      </c>
      <c r="C59" s="6">
        <f>VLOOKUP(A59,fund_value_simple[],8,FALSE)</f>
        <v>0.9157157517437895</v>
      </c>
      <c r="D59" s="5">
        <f t="shared" si="0"/>
        <v>107630.82425569367</v>
      </c>
      <c r="E59">
        <v>90000</v>
      </c>
      <c r="F59" s="4">
        <f t="shared" si="1"/>
        <v>0.19589804728548527</v>
      </c>
    </row>
    <row r="60" spans="1:6" x14ac:dyDescent="0.5">
      <c r="A60" s="3">
        <v>43522</v>
      </c>
      <c r="B60">
        <v>117537.37341607724</v>
      </c>
      <c r="C60" s="6">
        <f>VLOOKUP(A60,fund_value_simple[],8,FALSE)</f>
        <v>0.89923140228695586</v>
      </c>
      <c r="D60" s="5">
        <f t="shared" si="0"/>
        <v>105693.29711806471</v>
      </c>
      <c r="E60">
        <v>90000</v>
      </c>
      <c r="F60" s="4">
        <f t="shared" si="1"/>
        <v>0.17436996797849683</v>
      </c>
    </row>
    <row r="61" spans="1:6" x14ac:dyDescent="0.5">
      <c r="A61" s="3">
        <v>43523</v>
      </c>
      <c r="B61">
        <v>117537.37341607724</v>
      </c>
      <c r="C61" s="6">
        <f>VLOOKUP(A61,fund_value_simple[],8,FALSE)</f>
        <v>0.8977947469096893</v>
      </c>
      <c r="D61" s="5">
        <f t="shared" si="0"/>
        <v>105524.43641851671</v>
      </c>
      <c r="E61">
        <v>90000</v>
      </c>
      <c r="F61" s="4">
        <f t="shared" si="1"/>
        <v>0.17249373798351897</v>
      </c>
    </row>
    <row r="62" spans="1:6" x14ac:dyDescent="0.5">
      <c r="A62" s="3">
        <v>43524</v>
      </c>
      <c r="B62">
        <v>117537.37341607724</v>
      </c>
      <c r="C62" s="6">
        <f>VLOOKUP(A62,fund_value_simple[],8,FALSE)</f>
        <v>0.89613256805610242</v>
      </c>
      <c r="D62" s="5">
        <f t="shared" si="0"/>
        <v>105329.06828191836</v>
      </c>
      <c r="E62">
        <v>90000</v>
      </c>
      <c r="F62" s="4">
        <f t="shared" si="1"/>
        <v>0.17032298091020395</v>
      </c>
    </row>
    <row r="63" spans="1:6" x14ac:dyDescent="0.5">
      <c r="A63" s="3">
        <v>43525</v>
      </c>
      <c r="B63">
        <v>117537.37341607724</v>
      </c>
      <c r="C63" s="6">
        <f>VLOOKUP(A63,fund_value_simple[],8,FALSE)</f>
        <v>0.90817601295347106</v>
      </c>
      <c r="D63" s="5">
        <f t="shared" si="0"/>
        <v>106744.62316203633</v>
      </c>
      <c r="E63">
        <v>90000</v>
      </c>
      <c r="F63" s="4">
        <f t="shared" si="1"/>
        <v>0.18605136846707027</v>
      </c>
    </row>
    <row r="64" spans="1:6" x14ac:dyDescent="0.5">
      <c r="A64" s="3">
        <v>43528</v>
      </c>
      <c r="B64">
        <v>117537.37341607724</v>
      </c>
      <c r="C64" s="6">
        <f>VLOOKUP(A64,fund_value_simple[],8,FALSE)</f>
        <v>0.91520745564526107</v>
      </c>
      <c r="D64" s="5">
        <f t="shared" si="0"/>
        <v>107571.080467355</v>
      </c>
      <c r="E64">
        <v>90000</v>
      </c>
      <c r="F64" s="4">
        <f t="shared" si="1"/>
        <v>0.19523422741505556</v>
      </c>
    </row>
    <row r="65" spans="1:6" x14ac:dyDescent="0.5">
      <c r="A65" s="3">
        <v>43529</v>
      </c>
      <c r="B65">
        <v>117537.37341607724</v>
      </c>
      <c r="C65" s="6">
        <f>VLOOKUP(A65,fund_value_simple[],8,FALSE)</f>
        <v>0.9223755376874454</v>
      </c>
      <c r="D65" s="5">
        <f t="shared" si="0"/>
        <v>108413.59800302429</v>
      </c>
      <c r="E65">
        <v>90000</v>
      </c>
      <c r="F65" s="4">
        <f t="shared" si="1"/>
        <v>0.20459553336693659</v>
      </c>
    </row>
    <row r="66" spans="1:6" x14ac:dyDescent="0.5">
      <c r="A66" s="3">
        <v>43530</v>
      </c>
      <c r="B66">
        <v>117537.37341607724</v>
      </c>
      <c r="C66" s="6">
        <f>VLOOKUP(A66,fund_value_simple[],8,FALSE)</f>
        <v>0.92729238360962662</v>
      </c>
      <c r="D66" s="5">
        <f t="shared" si="0"/>
        <v>108991.51115820903</v>
      </c>
      <c r="E66">
        <v>90000</v>
      </c>
      <c r="F66" s="4">
        <f t="shared" si="1"/>
        <v>0.21101679064676701</v>
      </c>
    </row>
    <row r="67" spans="1:6" x14ac:dyDescent="0.5">
      <c r="A67" s="3">
        <v>43531</v>
      </c>
      <c r="B67">
        <v>117537.37341607724</v>
      </c>
      <c r="C67" s="6">
        <f>VLOOKUP(A67,fund_value_simple[],8,FALSE)</f>
        <v>0.92080738407246632</v>
      </c>
      <c r="D67" s="5">
        <f t="shared" ref="D67:D71" si="2">B67*C67</f>
        <v>108229.28134600673</v>
      </c>
      <c r="E67">
        <v>90000</v>
      </c>
      <c r="F67" s="4">
        <f t="shared" ref="F67:F78" si="3">(D67-E67)/E67</f>
        <v>0.20254757051118585</v>
      </c>
    </row>
    <row r="68" spans="1:6" x14ac:dyDescent="0.5">
      <c r="A68" s="3">
        <v>43532</v>
      </c>
      <c r="B68">
        <v>117537.37341607724</v>
      </c>
      <c r="C68" s="6">
        <f>VLOOKUP(A68,fund_value_simple[],8,FALSE)</f>
        <v>0.8991669555833125</v>
      </c>
      <c r="D68" s="5">
        <f t="shared" si="2"/>
        <v>105685.72222179314</v>
      </c>
      <c r="E68">
        <v>90000</v>
      </c>
      <c r="F68" s="4">
        <f t="shared" si="3"/>
        <v>0.17428580246436823</v>
      </c>
    </row>
    <row r="69" spans="1:6" x14ac:dyDescent="0.5">
      <c r="A69" s="3">
        <v>43535</v>
      </c>
      <c r="B69">
        <v>117537.37341607724</v>
      </c>
      <c r="C69" s="6">
        <f>VLOOKUP(A69,fund_value_simple[],8,FALSE)</f>
        <v>0.91068304799114441</v>
      </c>
      <c r="D69" s="5">
        <f t="shared" si="2"/>
        <v>107039.29347542653</v>
      </c>
      <c r="E69">
        <v>90000</v>
      </c>
      <c r="F69" s="4">
        <f t="shared" si="3"/>
        <v>0.18932548306029479</v>
      </c>
    </row>
    <row r="70" spans="1:6" x14ac:dyDescent="0.5">
      <c r="A70" s="3">
        <v>43536</v>
      </c>
      <c r="B70">
        <v>117537.37341607724</v>
      </c>
      <c r="C70" s="6">
        <f>VLOOKUP(A70,fund_value_simple[],8,FALSE)</f>
        <v>0.91888906356036404</v>
      </c>
      <c r="D70" s="5">
        <f t="shared" si="2"/>
        <v>108003.80699164404</v>
      </c>
      <c r="E70">
        <v>90000</v>
      </c>
      <c r="F70" s="4">
        <f t="shared" si="3"/>
        <v>0.20004229990715605</v>
      </c>
    </row>
    <row r="71" spans="1:6" x14ac:dyDescent="0.5">
      <c r="A71" s="3">
        <v>43537</v>
      </c>
      <c r="B71">
        <v>117537.37341607724</v>
      </c>
      <c r="C71" s="6">
        <f>VLOOKUP(A71,fund_value_simple[],8,FALSE)</f>
        <v>0.91242222928801375</v>
      </c>
      <c r="D71" s="5">
        <f t="shared" si="2"/>
        <v>107243.71227695492</v>
      </c>
      <c r="E71">
        <v>90000</v>
      </c>
      <c r="F71" s="4">
        <f t="shared" si="3"/>
        <v>0.19159680307727686</v>
      </c>
    </row>
    <row r="72" spans="1:6" x14ac:dyDescent="0.5">
      <c r="A72" s="3">
        <v>43538</v>
      </c>
      <c r="B72">
        <v>117537.37341607724</v>
      </c>
      <c r="C72" s="6">
        <f>VLOOKUP(A72,fund_value_simple[],8,FALSE)</f>
        <v>0.90529607587592531</v>
      </c>
      <c r="D72" s="5">
        <f t="shared" ref="D72:D74" si="4">B72*C72</f>
        <v>106406.12292233804</v>
      </c>
      <c r="E72">
        <v>90000</v>
      </c>
      <c r="F72" s="4">
        <f t="shared" si="3"/>
        <v>0.18229025469264484</v>
      </c>
    </row>
    <row r="73" spans="1:6" x14ac:dyDescent="0.5">
      <c r="A73" s="3">
        <v>43539</v>
      </c>
      <c r="B73">
        <v>117537.37341607724</v>
      </c>
      <c r="C73" s="6">
        <f>VLOOKUP(A73,fund_value_simple[],8,FALSE)</f>
        <v>0.91175125695952963</v>
      </c>
      <c r="D73" s="5">
        <f t="shared" si="4"/>
        <v>107164.84795183003</v>
      </c>
      <c r="E73">
        <v>90000</v>
      </c>
      <c r="F73" s="4">
        <f t="shared" si="3"/>
        <v>0.19072053279811144</v>
      </c>
    </row>
    <row r="74" spans="1:6" x14ac:dyDescent="0.5">
      <c r="A74" s="3">
        <v>43542</v>
      </c>
      <c r="B74">
        <v>117537.37341607724</v>
      </c>
      <c r="C74" s="6">
        <f>VLOOKUP(A74,fund_value_simple[],8,FALSE)</f>
        <v>0.92966666369315409</v>
      </c>
      <c r="D74" s="5">
        <f t="shared" si="4"/>
        <v>109270.57780298096</v>
      </c>
      <c r="E74">
        <v>90000</v>
      </c>
      <c r="F74" s="4">
        <f t="shared" si="3"/>
        <v>0.21411753114423288</v>
      </c>
    </row>
    <row r="75" spans="1:6" x14ac:dyDescent="0.5">
      <c r="A75" s="3">
        <v>43543</v>
      </c>
      <c r="B75">
        <v>117537.37341607724</v>
      </c>
      <c r="C75" s="6">
        <f>VLOOKUP(A75,fund_value_simple[],8,FALSE)</f>
        <v>0.92758725498368022</v>
      </c>
      <c r="D75" s="5">
        <f t="shared" ref="D75:D78" si="5">B75*C75</f>
        <v>109026.16956501087</v>
      </c>
      <c r="E75">
        <v>90000</v>
      </c>
      <c r="F75" s="4">
        <f t="shared" si="3"/>
        <v>0.21140188405567639</v>
      </c>
    </row>
    <row r="76" spans="1:6" x14ac:dyDescent="0.5">
      <c r="A76" s="3">
        <v>43544</v>
      </c>
      <c r="B76">
        <v>117537.37341607724</v>
      </c>
      <c r="C76" s="6">
        <f>VLOOKUP(A76,fund_value_simple[],8,FALSE)</f>
        <v>0.92601745621264275</v>
      </c>
      <c r="D76" s="5">
        <f t="shared" si="5"/>
        <v>108841.65954067135</v>
      </c>
      <c r="E76">
        <v>90000</v>
      </c>
      <c r="F76" s="4">
        <f t="shared" si="3"/>
        <v>0.20935177267412605</v>
      </c>
    </row>
    <row r="77" spans="1:6" x14ac:dyDescent="0.5">
      <c r="A77" s="3">
        <v>43545</v>
      </c>
      <c r="B77">
        <v>117537.37341607724</v>
      </c>
      <c r="C77" s="6">
        <f>VLOOKUP(A77,fund_value_simple[],8,FALSE)</f>
        <v>0.92713102121957858</v>
      </c>
      <c r="D77" s="5">
        <f t="shared" si="5"/>
        <v>108972.54504671464</v>
      </c>
      <c r="E77">
        <v>90000</v>
      </c>
      <c r="F77" s="4">
        <f t="shared" si="3"/>
        <v>0.21080605607460715</v>
      </c>
    </row>
    <row r="78" spans="1:6" x14ac:dyDescent="0.5">
      <c r="A78" s="3">
        <v>43546</v>
      </c>
      <c r="B78">
        <v>117537.37341607724</v>
      </c>
      <c r="C78" s="6">
        <f>VLOOKUP(A78,fund_value_simple[],8,FALSE)</f>
        <v>0.9290003297907784</v>
      </c>
      <c r="D78" s="5">
        <f t="shared" si="5"/>
        <v>109192.25866627763</v>
      </c>
      <c r="E78">
        <v>90000</v>
      </c>
      <c r="F78" s="4">
        <f t="shared" si="3"/>
        <v>0.2132473185141959</v>
      </c>
    </row>
    <row r="79" spans="1:6" x14ac:dyDescent="0.5">
      <c r="A79" s="3">
        <v>43549</v>
      </c>
      <c r="B79">
        <v>117537.37341607724</v>
      </c>
      <c r="C79" s="6">
        <f>VLOOKUP(A79,fund_value_simple[],8,FALSE)</f>
        <v>0.92068349468152322</v>
      </c>
      <c r="D79" s="5">
        <f t="shared" ref="D79:D142" si="6">B79*C79</f>
        <v>108214.71971240116</v>
      </c>
      <c r="E79">
        <v>90000</v>
      </c>
      <c r="F79" s="4">
        <f t="shared" ref="F79:F142" si="7">(D79-E79)/E79</f>
        <v>0.20238577458223508</v>
      </c>
    </row>
    <row r="80" spans="1:6" x14ac:dyDescent="0.5">
      <c r="A80" s="3">
        <v>43550</v>
      </c>
      <c r="B80">
        <v>117537.37341607724</v>
      </c>
      <c r="C80" s="6">
        <f>VLOOKUP(A80,fund_value_simple[],8,FALSE)</f>
        <v>0.90900288666786511</v>
      </c>
      <c r="D80" s="5">
        <f t="shared" si="6"/>
        <v>106841.81172657301</v>
      </c>
      <c r="E80">
        <v>90000</v>
      </c>
      <c r="F80" s="4">
        <f t="shared" si="7"/>
        <v>0.18713124140636678</v>
      </c>
    </row>
    <row r="81" spans="1:6" x14ac:dyDescent="0.5">
      <c r="A81" s="3">
        <v>43551</v>
      </c>
      <c r="B81">
        <v>117537.37341607724</v>
      </c>
      <c r="C81" s="6">
        <f>VLOOKUP(A81,fund_value_simple[],8,FALSE)</f>
        <v>0.912413272327252</v>
      </c>
      <c r="D81" s="5">
        <f t="shared" si="6"/>
        <v>107242.6594993132</v>
      </c>
      <c r="E81">
        <v>90000</v>
      </c>
      <c r="F81" s="4">
        <f t="shared" si="7"/>
        <v>0.19158510554792446</v>
      </c>
    </row>
    <row r="82" spans="1:6" x14ac:dyDescent="0.5">
      <c r="A82" s="3">
        <v>43552</v>
      </c>
      <c r="B82">
        <v>117537.37341607724</v>
      </c>
      <c r="C82" s="6">
        <f>VLOOKUP(A82,fund_value_simple[],8,FALSE)</f>
        <v>0.90986785031488604</v>
      </c>
      <c r="D82" s="5">
        <f t="shared" si="6"/>
        <v>106943.47728174423</v>
      </c>
      <c r="E82">
        <v>90000</v>
      </c>
      <c r="F82" s="4">
        <f t="shared" si="7"/>
        <v>0.18826085868604697</v>
      </c>
    </row>
    <row r="83" spans="1:6" x14ac:dyDescent="0.5">
      <c r="A83" s="3">
        <v>43553</v>
      </c>
      <c r="B83">
        <v>117537.37341607724</v>
      </c>
      <c r="C83" s="6">
        <f>VLOOKUP(A83,fund_value_simple[],8,FALSE)</f>
        <v>0.93511299852280871</v>
      </c>
      <c r="D83" s="5">
        <f t="shared" si="6"/>
        <v>109910.72569360306</v>
      </c>
      <c r="E83">
        <v>90000</v>
      </c>
      <c r="F83" s="4">
        <f t="shared" si="7"/>
        <v>0.22123028548447846</v>
      </c>
    </row>
    <row r="84" spans="1:6" x14ac:dyDescent="0.5">
      <c r="A84" s="3">
        <v>43556</v>
      </c>
      <c r="B84">
        <v>117537.37341607724</v>
      </c>
      <c r="C84" s="6">
        <f>VLOOKUP(A84,fund_value_simple[],8,FALSE)</f>
        <v>0.95525576376420196</v>
      </c>
      <c r="D84" s="5">
        <f t="shared" si="6"/>
        <v>112278.25341341307</v>
      </c>
      <c r="E84">
        <v>90000</v>
      </c>
      <c r="F84" s="4">
        <f t="shared" si="7"/>
        <v>0.24753614903792298</v>
      </c>
    </row>
    <row r="85" spans="1:6" x14ac:dyDescent="0.5">
      <c r="A85" s="3">
        <v>43557</v>
      </c>
      <c r="B85">
        <v>117537.37341607724</v>
      </c>
      <c r="C85" s="6">
        <f>VLOOKUP(A85,fund_value_simple[],8,FALSE)</f>
        <v>0.95454434801595212</v>
      </c>
      <c r="D85" s="5">
        <f t="shared" si="6"/>
        <v>112194.63547495696</v>
      </c>
      <c r="E85">
        <v>90000</v>
      </c>
      <c r="F85" s="4">
        <f t="shared" si="7"/>
        <v>0.24660706083285508</v>
      </c>
    </row>
    <row r="86" spans="1:6" x14ac:dyDescent="0.5">
      <c r="A86" s="3">
        <v>43558</v>
      </c>
      <c r="B86">
        <v>117537.37341607724</v>
      </c>
      <c r="C86" s="6">
        <f>VLOOKUP(A86,fund_value_simple[],8,FALSE)</f>
        <v>0.96285101514679183</v>
      </c>
      <c r="D86" s="5">
        <f t="shared" si="6"/>
        <v>113170.97931135751</v>
      </c>
      <c r="E86">
        <v>90000</v>
      </c>
      <c r="F86" s="4">
        <f t="shared" si="7"/>
        <v>0.25745532568175017</v>
      </c>
    </row>
    <row r="87" spans="1:6" x14ac:dyDescent="0.5">
      <c r="A87" s="3">
        <v>43559</v>
      </c>
      <c r="B87">
        <v>117537.37341607724</v>
      </c>
      <c r="C87" s="6">
        <f>VLOOKUP(A87,fund_value_simple[],8,FALSE)</f>
        <v>0.96966710234067743</v>
      </c>
      <c r="D87" s="5">
        <f t="shared" si="6"/>
        <v>113972.12429710179</v>
      </c>
      <c r="E87">
        <v>90000</v>
      </c>
      <c r="F87" s="4">
        <f t="shared" si="7"/>
        <v>0.26635693663446436</v>
      </c>
    </row>
    <row r="88" spans="1:6" x14ac:dyDescent="0.5">
      <c r="A88" s="3">
        <v>43563</v>
      </c>
      <c r="B88">
        <v>117537.37341607724</v>
      </c>
      <c r="C88" s="6">
        <f>VLOOKUP(A88,fund_value_simple[],8,FALSE)</f>
        <v>0.96405060810594101</v>
      </c>
      <c r="D88" s="5">
        <f t="shared" si="6"/>
        <v>113311.97631694433</v>
      </c>
      <c r="E88">
        <v>90000</v>
      </c>
      <c r="F88" s="4">
        <f t="shared" si="7"/>
        <v>0.25902195907715925</v>
      </c>
    </row>
    <row r="89" spans="1:6" x14ac:dyDescent="0.5">
      <c r="A89" s="3">
        <v>43564</v>
      </c>
      <c r="B89">
        <v>117537.37341607724</v>
      </c>
      <c r="C89" s="6">
        <f>VLOOKUP(A89,fund_value_simple[],8,FALSE)</f>
        <v>0.96644967977729068</v>
      </c>
      <c r="D89" s="5">
        <f t="shared" si="6"/>
        <v>113593.9568998317</v>
      </c>
      <c r="E89">
        <v>90000</v>
      </c>
      <c r="F89" s="4">
        <f t="shared" si="7"/>
        <v>0.26215507666479665</v>
      </c>
    </row>
    <row r="90" spans="1:6" x14ac:dyDescent="0.5">
      <c r="A90" s="3">
        <v>43565</v>
      </c>
      <c r="B90">
        <v>117537.37341607724</v>
      </c>
      <c r="C90" s="6">
        <f>VLOOKUP(A90,fund_value_simple[],8,FALSE)</f>
        <v>0.96638672970867256</v>
      </c>
      <c r="D90" s="5">
        <f t="shared" si="6"/>
        <v>113586.55791410996</v>
      </c>
      <c r="E90">
        <v>90000</v>
      </c>
      <c r="F90" s="4">
        <f t="shared" si="7"/>
        <v>0.2620728657123329</v>
      </c>
    </row>
    <row r="91" spans="1:6" x14ac:dyDescent="0.5">
      <c r="A91" s="3">
        <v>43566</v>
      </c>
      <c r="B91">
        <v>117537.37341607724</v>
      </c>
      <c r="C91" s="6">
        <f>VLOOKUP(A91,fund_value_simple[],8,FALSE)</f>
        <v>0.95446186171914205</v>
      </c>
      <c r="D91" s="5">
        <f t="shared" si="6"/>
        <v>112184.94025228708</v>
      </c>
      <c r="E91">
        <v>90000</v>
      </c>
      <c r="F91" s="4">
        <f t="shared" si="7"/>
        <v>0.24649933613652311</v>
      </c>
    </row>
    <row r="92" spans="1:6" x14ac:dyDescent="0.5">
      <c r="A92" s="3">
        <v>43567</v>
      </c>
      <c r="B92">
        <v>117537.37341607724</v>
      </c>
      <c r="C92" s="6">
        <f>VLOOKUP(A92,fund_value_simple[],8,FALSE)</f>
        <v>0.95249498625393136</v>
      </c>
      <c r="D92" s="5">
        <f t="shared" si="6"/>
        <v>111953.7588762697</v>
      </c>
      <c r="E92">
        <v>90000</v>
      </c>
      <c r="F92" s="4">
        <f t="shared" si="7"/>
        <v>0.24393065418077442</v>
      </c>
    </row>
    <row r="93" spans="1:6" x14ac:dyDescent="0.5">
      <c r="A93" s="3">
        <v>43570</v>
      </c>
      <c r="B93">
        <v>117537.37341607724</v>
      </c>
      <c r="C93" s="6">
        <f>VLOOKUP(A93,fund_value_simple[],8,FALSE)</f>
        <v>0.94875374143171642</v>
      </c>
      <c r="D93" s="5">
        <f t="shared" si="6"/>
        <v>111514.02278656005</v>
      </c>
      <c r="E93">
        <v>90000</v>
      </c>
      <c r="F93" s="4">
        <f t="shared" si="7"/>
        <v>0.23904469762844496</v>
      </c>
    </row>
    <row r="94" spans="1:6" x14ac:dyDescent="0.5">
      <c r="A94" s="3">
        <v>43571</v>
      </c>
      <c r="B94">
        <v>117537.37341607724</v>
      </c>
      <c r="C94" s="6">
        <f>VLOOKUP(A94,fund_value_simple[],8,FALSE)</f>
        <v>0.96720199593309997</v>
      </c>
      <c r="D94" s="5">
        <f t="shared" si="6"/>
        <v>113682.382164764</v>
      </c>
      <c r="E94">
        <v>90000</v>
      </c>
      <c r="F94" s="4">
        <f t="shared" si="7"/>
        <v>0.26313757960848888</v>
      </c>
    </row>
    <row r="95" spans="1:6" x14ac:dyDescent="0.5">
      <c r="A95" s="3">
        <v>43572</v>
      </c>
      <c r="B95">
        <v>117537.37341607724</v>
      </c>
      <c r="C95" s="6">
        <f>VLOOKUP(A95,fund_value_simple[],8,FALSE)</f>
        <v>0.9659952054161961</v>
      </c>
      <c r="D95" s="5">
        <f t="shared" si="6"/>
        <v>113540.53917714368</v>
      </c>
      <c r="E95">
        <v>90000</v>
      </c>
      <c r="F95" s="4">
        <f t="shared" si="7"/>
        <v>0.26156154641270762</v>
      </c>
    </row>
    <row r="96" spans="1:6" x14ac:dyDescent="0.5">
      <c r="A96" s="3">
        <v>43573</v>
      </c>
      <c r="B96">
        <v>117537.37341607724</v>
      </c>
      <c r="C96" s="6">
        <f>VLOOKUP(A96,fund_value_simple[],8,FALSE)</f>
        <v>0.9657081028346397</v>
      </c>
      <c r="D96" s="5">
        <f t="shared" si="6"/>
        <v>113506.79389380656</v>
      </c>
      <c r="E96">
        <v>90000</v>
      </c>
      <c r="F96" s="4">
        <f t="shared" si="7"/>
        <v>0.26118659882007295</v>
      </c>
    </row>
    <row r="97" spans="1:6" x14ac:dyDescent="0.5">
      <c r="A97" s="3">
        <v>43574</v>
      </c>
      <c r="B97">
        <v>117537.37341607724</v>
      </c>
      <c r="C97" s="6">
        <f>VLOOKUP(A97,fund_value_simple[],8,FALSE)</f>
        <v>0.97335659329522617</v>
      </c>
      <c r="D97" s="5">
        <f t="shared" si="6"/>
        <v>114405.77737314183</v>
      </c>
      <c r="E97">
        <v>90000</v>
      </c>
      <c r="F97" s="4">
        <f t="shared" si="7"/>
        <v>0.27117530414602031</v>
      </c>
    </row>
    <row r="98" spans="1:6" x14ac:dyDescent="0.5">
      <c r="A98" s="3">
        <v>43577</v>
      </c>
      <c r="B98">
        <v>117537.37341607724</v>
      </c>
      <c r="C98" s="6">
        <f>VLOOKUP(A98,fund_value_simple[],8,FALSE)</f>
        <v>0.95807309351397485</v>
      </c>
      <c r="D98" s="5">
        <f t="shared" si="6"/>
        <v>112609.39495224836</v>
      </c>
      <c r="E98">
        <v>90000</v>
      </c>
      <c r="F98" s="4">
        <f t="shared" si="7"/>
        <v>0.25121549946942623</v>
      </c>
    </row>
    <row r="99" spans="1:6" x14ac:dyDescent="0.5">
      <c r="A99" s="3">
        <v>43578</v>
      </c>
      <c r="B99">
        <v>117537.37341607724</v>
      </c>
      <c r="C99" s="6">
        <f>VLOOKUP(A99,fund_value_simple[],8,FALSE)</f>
        <v>0.95262317133013774</v>
      </c>
      <c r="D99" s="5">
        <f t="shared" si="6"/>
        <v>111968.82541343813</v>
      </c>
      <c r="E99">
        <v>90000</v>
      </c>
      <c r="F99" s="4">
        <f t="shared" si="7"/>
        <v>0.24409806014931254</v>
      </c>
    </row>
    <row r="100" spans="1:6" x14ac:dyDescent="0.5">
      <c r="A100" s="3">
        <v>43579</v>
      </c>
      <c r="B100">
        <v>117537.37341607724</v>
      </c>
      <c r="C100" s="6">
        <f>VLOOKUP(A100,fund_value_simple[],8,FALSE)</f>
        <v>0.95490319768116028</v>
      </c>
      <c r="D100" s="5">
        <f t="shared" si="6"/>
        <v>112236.81372205676</v>
      </c>
      <c r="E100">
        <v>90000</v>
      </c>
      <c r="F100" s="4">
        <f t="shared" si="7"/>
        <v>0.24707570802285286</v>
      </c>
    </row>
    <row r="101" spans="1:6" x14ac:dyDescent="0.5">
      <c r="A101" s="3">
        <v>43580</v>
      </c>
      <c r="B101">
        <v>117537.37341607724</v>
      </c>
      <c r="C101" s="6">
        <f>VLOOKUP(A101,fund_value_simple[],8,FALSE)</f>
        <v>0.93822062976869602</v>
      </c>
      <c r="D101" s="5">
        <f t="shared" si="6"/>
        <v>110275.98850779039</v>
      </c>
      <c r="E101">
        <v>90000</v>
      </c>
      <c r="F101" s="4">
        <f t="shared" si="7"/>
        <v>0.22528876119767099</v>
      </c>
    </row>
    <row r="102" spans="1:6" x14ac:dyDescent="0.5">
      <c r="A102" s="3">
        <v>43581</v>
      </c>
      <c r="B102">
        <v>117537.37341607724</v>
      </c>
      <c r="C102" s="6">
        <f>VLOOKUP(A102,fund_value_simple[],8,FALSE)</f>
        <v>0.93060789860298687</v>
      </c>
      <c r="D102" s="5">
        <f t="shared" si="6"/>
        <v>109381.20808205022</v>
      </c>
      <c r="E102">
        <v>90000</v>
      </c>
      <c r="F102" s="4">
        <f t="shared" si="7"/>
        <v>0.21534675646722462</v>
      </c>
    </row>
    <row r="103" spans="1:6" x14ac:dyDescent="0.5">
      <c r="A103" s="3">
        <v>43584</v>
      </c>
      <c r="B103">
        <v>117537.37341607724</v>
      </c>
      <c r="C103" s="6">
        <f>VLOOKUP(A103,fund_value_simple[],8,FALSE)</f>
        <v>0.92879537076518681</v>
      </c>
      <c r="D103" s="5">
        <f t="shared" si="6"/>
        <v>109168.16832075168</v>
      </c>
      <c r="E103">
        <v>90000</v>
      </c>
      <c r="F103" s="4">
        <f t="shared" si="7"/>
        <v>0.21297964800835195</v>
      </c>
    </row>
    <row r="104" spans="1:6" x14ac:dyDescent="0.5">
      <c r="A104" s="3">
        <v>43585</v>
      </c>
      <c r="B104">
        <v>117537.37341607724</v>
      </c>
      <c r="C104" s="6">
        <f>VLOOKUP(A104,fund_value_simple[],8,FALSE)</f>
        <v>0.93031119927775741</v>
      </c>
      <c r="D104" s="5">
        <f t="shared" si="6"/>
        <v>109346.33482266842</v>
      </c>
      <c r="E104">
        <v>90000</v>
      </c>
      <c r="F104" s="4">
        <f t="shared" si="7"/>
        <v>0.21495927580742685</v>
      </c>
    </row>
    <row r="105" spans="1:6" x14ac:dyDescent="0.5">
      <c r="A105" s="3">
        <v>43591</v>
      </c>
      <c r="B105">
        <v>117537.37341607724</v>
      </c>
      <c r="C105" s="6">
        <f>VLOOKUP(A105,fund_value_simple[],8,FALSE)</f>
        <v>0.89102670055764388</v>
      </c>
      <c r="D105" s="5">
        <f t="shared" si="6"/>
        <v>104728.93802713903</v>
      </c>
      <c r="E105">
        <v>90000</v>
      </c>
      <c r="F105" s="4">
        <f t="shared" si="7"/>
        <v>0.16365486696821138</v>
      </c>
    </row>
    <row r="106" spans="1:6" x14ac:dyDescent="0.5">
      <c r="A106" s="3">
        <v>43592</v>
      </c>
      <c r="B106">
        <v>117537.37341607724</v>
      </c>
      <c r="C106" s="6">
        <f>VLOOKUP(A106,fund_value_simple[],8,FALSE)</f>
        <v>0.89682039180948869</v>
      </c>
      <c r="D106" s="5">
        <f t="shared" si="6"/>
        <v>105409.91327926457</v>
      </c>
      <c r="E106">
        <v>90000</v>
      </c>
      <c r="F106" s="4">
        <f t="shared" si="7"/>
        <v>0.17122125865849522</v>
      </c>
    </row>
    <row r="107" spans="1:6" x14ac:dyDescent="0.5">
      <c r="A107" s="3">
        <v>43593</v>
      </c>
      <c r="B107">
        <v>117537.37341607724</v>
      </c>
      <c r="C107" s="6">
        <f>VLOOKUP(A107,fund_value_simple[],8,FALSE)</f>
        <v>0.89043453577422838</v>
      </c>
      <c r="D107" s="5">
        <f t="shared" si="6"/>
        <v>104659.33653386687</v>
      </c>
      <c r="E107">
        <v>90000</v>
      </c>
      <c r="F107" s="4">
        <f t="shared" si="7"/>
        <v>0.16288151704296519</v>
      </c>
    </row>
    <row r="108" spans="1:6" x14ac:dyDescent="0.5">
      <c r="A108" s="3">
        <v>43594</v>
      </c>
      <c r="B108">
        <v>117537.37341607724</v>
      </c>
      <c r="C108" s="6">
        <f>VLOOKUP(A108,fund_value_simple[],8,FALSE)</f>
        <v>0.88320704531882932</v>
      </c>
      <c r="D108" s="5">
        <f t="shared" si="6"/>
        <v>103809.83628934949</v>
      </c>
      <c r="E108">
        <v>90000</v>
      </c>
      <c r="F108" s="4">
        <f t="shared" si="7"/>
        <v>0.15344262543721657</v>
      </c>
    </row>
    <row r="109" spans="1:6" x14ac:dyDescent="0.5">
      <c r="A109" s="3">
        <v>43595</v>
      </c>
      <c r="B109">
        <v>117537.37341607724</v>
      </c>
      <c r="C109" s="6">
        <f>VLOOKUP(A109,fund_value_simple[],8,FALSE)</f>
        <v>0.90398479509993201</v>
      </c>
      <c r="D109" s="5">
        <f t="shared" si="6"/>
        <v>106251.99842411678</v>
      </c>
      <c r="E109">
        <v>90000</v>
      </c>
      <c r="F109" s="4">
        <f t="shared" si="7"/>
        <v>0.18057776026796427</v>
      </c>
    </row>
    <row r="110" spans="1:6" x14ac:dyDescent="0.5">
      <c r="A110" s="3">
        <v>43598</v>
      </c>
      <c r="B110">
        <v>117537.37341607724</v>
      </c>
      <c r="C110" s="6">
        <f>VLOOKUP(A110,fund_value_simple[],8,FALSE)</f>
        <v>0.89373033174427952</v>
      </c>
      <c r="D110" s="5">
        <f t="shared" si="6"/>
        <v>105046.71573550197</v>
      </c>
      <c r="E110">
        <v>90000</v>
      </c>
      <c r="F110" s="4">
        <f t="shared" si="7"/>
        <v>0.16718573039446638</v>
      </c>
    </row>
    <row r="111" spans="1:6" x14ac:dyDescent="0.5">
      <c r="A111" s="3">
        <v>43599</v>
      </c>
      <c r="B111">
        <v>117537.37341607724</v>
      </c>
      <c r="C111" s="6">
        <f>VLOOKUP(A111,fund_value_simple[],8,FALSE)</f>
        <v>0.88972860387950636</v>
      </c>
      <c r="D111" s="5">
        <f t="shared" si="6"/>
        <v>104576.36315315061</v>
      </c>
      <c r="E111">
        <v>90000</v>
      </c>
      <c r="F111" s="4">
        <f t="shared" si="7"/>
        <v>0.16195959059056234</v>
      </c>
    </row>
    <row r="112" spans="1:6" x14ac:dyDescent="0.5">
      <c r="A112" s="3">
        <v>43600</v>
      </c>
      <c r="B112">
        <v>117537.37341607724</v>
      </c>
      <c r="C112" s="6">
        <f>VLOOKUP(A112,fund_value_simple[],8,FALSE)</f>
        <v>0.90104202220071616</v>
      </c>
      <c r="D112" s="5">
        <f t="shared" si="6"/>
        <v>105906.11262698294</v>
      </c>
      <c r="E112">
        <v>90000</v>
      </c>
      <c r="F112" s="4">
        <f t="shared" si="7"/>
        <v>0.17673458474425488</v>
      </c>
    </row>
    <row r="113" spans="1:6" x14ac:dyDescent="0.5">
      <c r="A113" s="3">
        <v>43601</v>
      </c>
      <c r="B113">
        <v>117537.37341607724</v>
      </c>
      <c r="C113" s="6">
        <f>VLOOKUP(A113,fund_value_simple[],8,FALSE)</f>
        <v>0.90608453976623671</v>
      </c>
      <c r="D113" s="5">
        <f t="shared" si="6"/>
        <v>106498.79689703866</v>
      </c>
      <c r="E113">
        <v>90000</v>
      </c>
      <c r="F113" s="4">
        <f t="shared" si="7"/>
        <v>0.18331996552265176</v>
      </c>
    </row>
    <row r="114" spans="1:6" x14ac:dyDescent="0.5">
      <c r="A114" s="3">
        <v>43602</v>
      </c>
      <c r="B114">
        <v>117537.37341607724</v>
      </c>
      <c r="C114" s="6">
        <f>VLOOKUP(A114,fund_value_simple[],8,FALSE)</f>
        <v>0.8898672996749738</v>
      </c>
      <c r="D114" s="5">
        <f t="shared" si="6"/>
        <v>104592.66509265371</v>
      </c>
      <c r="E114">
        <v>90000</v>
      </c>
      <c r="F114" s="4">
        <f t="shared" si="7"/>
        <v>0.16214072325170789</v>
      </c>
    </row>
    <row r="115" spans="1:6" x14ac:dyDescent="0.5">
      <c r="A115" s="3">
        <v>43605</v>
      </c>
      <c r="B115">
        <v>117537.37341607724</v>
      </c>
      <c r="C115" s="6">
        <f>VLOOKUP(A115,fund_value_simple[],8,FALSE)</f>
        <v>0.88978846928051536</v>
      </c>
      <c r="D115" s="5">
        <f t="shared" si="6"/>
        <v>104583.3995751437</v>
      </c>
      <c r="E115">
        <v>90000</v>
      </c>
      <c r="F115" s="4">
        <f t="shared" si="7"/>
        <v>0.16203777305715225</v>
      </c>
    </row>
    <row r="116" spans="1:6" x14ac:dyDescent="0.5">
      <c r="A116" s="3">
        <v>43606</v>
      </c>
      <c r="B116">
        <v>117537.37341607724</v>
      </c>
      <c r="C116" s="6">
        <f>VLOOKUP(A116,fund_value_simple[],8,FALSE)</f>
        <v>0.89755280614687105</v>
      </c>
      <c r="D116" s="5">
        <f t="shared" si="6"/>
        <v>105495.99933673277</v>
      </c>
      <c r="E116">
        <v>90000</v>
      </c>
      <c r="F116" s="4">
        <f t="shared" si="7"/>
        <v>0.17217777040814189</v>
      </c>
    </row>
    <row r="117" spans="1:6" x14ac:dyDescent="0.5">
      <c r="A117" s="3">
        <v>43607</v>
      </c>
      <c r="B117">
        <v>117537.37341607724</v>
      </c>
      <c r="C117" s="6">
        <f>VLOOKUP(A117,fund_value_simple[],8,FALSE)</f>
        <v>0.89533024601093902</v>
      </c>
      <c r="D117" s="5">
        <f t="shared" si="6"/>
        <v>105234.76545609604</v>
      </c>
      <c r="E117">
        <v>90000</v>
      </c>
      <c r="F117" s="4">
        <f t="shared" si="7"/>
        <v>0.1692751717344004</v>
      </c>
    </row>
    <row r="118" spans="1:6" x14ac:dyDescent="0.5">
      <c r="A118" s="3">
        <v>43608</v>
      </c>
      <c r="B118">
        <v>117537.37341607724</v>
      </c>
      <c r="C118" s="6">
        <f>VLOOKUP(A118,fund_value_simple[],8,FALSE)</f>
        <v>0.88598655932865189</v>
      </c>
      <c r="D118" s="5">
        <f t="shared" si="6"/>
        <v>104136.53306543724</v>
      </c>
      <c r="E118">
        <v>90000</v>
      </c>
      <c r="F118" s="4">
        <f t="shared" si="7"/>
        <v>0.15707258961596932</v>
      </c>
    </row>
    <row r="119" spans="1:6" x14ac:dyDescent="0.5">
      <c r="A119" s="3">
        <v>43609</v>
      </c>
      <c r="B119">
        <v>117537.37341607724</v>
      </c>
      <c r="C119" s="6">
        <f>VLOOKUP(A119,fund_value_simple[],8,FALSE)</f>
        <v>0.88084304746066577</v>
      </c>
      <c r="D119" s="5">
        <f t="shared" si="6"/>
        <v>103531.97819033972</v>
      </c>
      <c r="E119">
        <v>90000</v>
      </c>
      <c r="F119" s="4">
        <f t="shared" si="7"/>
        <v>0.15035531322599693</v>
      </c>
    </row>
    <row r="120" spans="1:6" x14ac:dyDescent="0.5">
      <c r="A120" s="3">
        <v>43612</v>
      </c>
      <c r="B120">
        <v>117537.37341607724</v>
      </c>
      <c r="C120" s="6">
        <f>VLOOKUP(A120,fund_value_simple[],8,FALSE)</f>
        <v>0.89356261722389552</v>
      </c>
      <c r="D120" s="5">
        <f t="shared" si="6"/>
        <v>105027.0030112923</v>
      </c>
      <c r="E120">
        <v>90000</v>
      </c>
      <c r="F120" s="4">
        <f t="shared" si="7"/>
        <v>0.16696670012546996</v>
      </c>
    </row>
    <row r="121" spans="1:6" x14ac:dyDescent="0.5">
      <c r="A121" s="3">
        <v>43613</v>
      </c>
      <c r="B121">
        <v>117537.37341607724</v>
      </c>
      <c r="C121" s="6">
        <f>VLOOKUP(A121,fund_value_simple[],8,FALSE)</f>
        <v>0.89433584057127857</v>
      </c>
      <c r="D121" s="5">
        <f t="shared" si="6"/>
        <v>105117.8856526077</v>
      </c>
      <c r="E121">
        <v>90000</v>
      </c>
      <c r="F121" s="4">
        <f t="shared" si="7"/>
        <v>0.16797650725119667</v>
      </c>
    </row>
    <row r="122" spans="1:6" x14ac:dyDescent="0.5">
      <c r="A122" s="3">
        <v>43614</v>
      </c>
      <c r="B122">
        <v>117537.37341607724</v>
      </c>
      <c r="C122" s="6">
        <f>VLOOKUP(A122,fund_value_simple[],8,FALSE)</f>
        <v>0.89500852660399011</v>
      </c>
      <c r="D122" s="5">
        <f t="shared" si="6"/>
        <v>105196.95140202629</v>
      </c>
      <c r="E122">
        <v>90000</v>
      </c>
      <c r="F122" s="4">
        <f t="shared" si="7"/>
        <v>0.16885501557806987</v>
      </c>
    </row>
    <row r="123" spans="1:6" x14ac:dyDescent="0.5">
      <c r="A123" s="3">
        <v>43615</v>
      </c>
      <c r="B123">
        <v>117537.37341607724</v>
      </c>
      <c r="C123" s="6">
        <f>VLOOKUP(A123,fund_value_simple[],8,FALSE)</f>
        <v>0.89287942047192292</v>
      </c>
      <c r="D123" s="5">
        <f t="shared" si="6"/>
        <v>104946.70185953905</v>
      </c>
      <c r="E123">
        <v>90000</v>
      </c>
      <c r="F123" s="4">
        <f t="shared" si="7"/>
        <v>0.1660744651059895</v>
      </c>
    </row>
    <row r="124" spans="1:6" x14ac:dyDescent="0.5">
      <c r="A124" s="3">
        <v>43616</v>
      </c>
      <c r="B124">
        <v>117537.37341607724</v>
      </c>
      <c r="C124" s="6">
        <f>VLOOKUP(A124,fund_value_simple[],8,FALSE)</f>
        <v>0.89068382261583445</v>
      </c>
      <c r="D124" s="5">
        <f t="shared" si="6"/>
        <v>104688.63705445644</v>
      </c>
      <c r="E124">
        <v>90000</v>
      </c>
      <c r="F124" s="4">
        <f t="shared" si="7"/>
        <v>0.16320707838284934</v>
      </c>
    </row>
    <row r="125" spans="1:6" x14ac:dyDescent="0.5">
      <c r="A125" s="3">
        <v>43619</v>
      </c>
      <c r="B125">
        <v>117537.37341607724</v>
      </c>
      <c r="C125" s="6">
        <f>VLOOKUP(A125,fund_value_simple[],8,FALSE)</f>
        <v>0.88896406330020861</v>
      </c>
      <c r="D125" s="5">
        <f t="shared" si="6"/>
        <v>104486.50106158995</v>
      </c>
      <c r="E125">
        <v>90000</v>
      </c>
      <c r="F125" s="4">
        <f t="shared" si="7"/>
        <v>0.16096112290655501</v>
      </c>
    </row>
    <row r="126" spans="1:6" x14ac:dyDescent="0.5">
      <c r="A126" s="3">
        <v>43620</v>
      </c>
      <c r="B126">
        <v>117537.37341607724</v>
      </c>
      <c r="C126" s="6">
        <f>VLOOKUP(A126,fund_value_simple[],8,FALSE)</f>
        <v>0.88091068165417208</v>
      </c>
      <c r="D126" s="5">
        <f t="shared" si="6"/>
        <v>103539.92773579757</v>
      </c>
      <c r="E126">
        <v>90000</v>
      </c>
      <c r="F126" s="4">
        <f t="shared" si="7"/>
        <v>0.15044364150886186</v>
      </c>
    </row>
    <row r="127" spans="1:6" x14ac:dyDescent="0.5">
      <c r="A127" s="3">
        <v>43621</v>
      </c>
      <c r="B127">
        <v>117537.37341607724</v>
      </c>
      <c r="C127" s="6">
        <f>VLOOKUP(A127,fund_value_simple[],8,FALSE)</f>
        <v>0.87944626426842232</v>
      </c>
      <c r="D127" s="5">
        <f t="shared" si="6"/>
        <v>103367.8039626917</v>
      </c>
      <c r="E127">
        <v>90000</v>
      </c>
      <c r="F127" s="4">
        <f t="shared" si="7"/>
        <v>0.14853115514101892</v>
      </c>
    </row>
    <row r="128" spans="1:6" x14ac:dyDescent="0.5">
      <c r="A128" s="3">
        <v>43622</v>
      </c>
      <c r="B128">
        <v>117537.37341607724</v>
      </c>
      <c r="C128" s="6">
        <f>VLOOKUP(A128,fund_value_simple[],8,FALSE)</f>
        <v>0.87127577950018309</v>
      </c>
      <c r="D128" s="5">
        <f t="shared" si="6"/>
        <v>102407.46664349679</v>
      </c>
      <c r="E128">
        <v>90000</v>
      </c>
      <c r="F128" s="4">
        <f t="shared" si="7"/>
        <v>0.13786074048329772</v>
      </c>
    </row>
    <row r="129" spans="1:6" x14ac:dyDescent="0.5">
      <c r="A129" s="3">
        <v>43626</v>
      </c>
      <c r="B129">
        <v>117537.37341607724</v>
      </c>
      <c r="C129" s="6">
        <f>VLOOKUP(A129,fund_value_simple[],8,FALSE)</f>
        <v>0.87878031880567187</v>
      </c>
      <c r="D129" s="5">
        <f t="shared" si="6"/>
        <v>103289.53048216166</v>
      </c>
      <c r="E129">
        <v>90000</v>
      </c>
      <c r="F129" s="4">
        <f t="shared" si="7"/>
        <v>0.14766144980179621</v>
      </c>
    </row>
    <row r="130" spans="1:6" x14ac:dyDescent="0.5">
      <c r="A130" s="3">
        <v>43627</v>
      </c>
      <c r="B130">
        <v>117537.37341607724</v>
      </c>
      <c r="C130" s="6">
        <f>VLOOKUP(A130,fund_value_simple[],8,FALSE)</f>
        <v>0.89810301945080073</v>
      </c>
      <c r="D130" s="5">
        <f t="shared" si="6"/>
        <v>105560.66996329525</v>
      </c>
      <c r="E130">
        <v>90000</v>
      </c>
      <c r="F130" s="4">
        <f t="shared" si="7"/>
        <v>0.1728963329255028</v>
      </c>
    </row>
    <row r="131" spans="1:6" x14ac:dyDescent="0.5">
      <c r="A131" s="3">
        <v>43628</v>
      </c>
      <c r="B131">
        <v>117537.37341607724</v>
      </c>
      <c r="C131" s="6">
        <f>VLOOKUP(A131,fund_value_simple[],8,FALSE)</f>
        <v>0.89832185948063437</v>
      </c>
      <c r="D131" s="5">
        <f t="shared" si="6"/>
        <v>105586.39184560018</v>
      </c>
      <c r="E131">
        <v>90000</v>
      </c>
      <c r="F131" s="4">
        <f t="shared" si="7"/>
        <v>0.17318213161777984</v>
      </c>
    </row>
    <row r="132" spans="1:6" x14ac:dyDescent="0.5">
      <c r="A132" s="3">
        <v>43629</v>
      </c>
      <c r="B132">
        <v>117537.37341607724</v>
      </c>
      <c r="C132" s="6">
        <f>VLOOKUP(A132,fund_value_simple[],8,FALSE)</f>
        <v>0.8959279289219666</v>
      </c>
      <c r="D132" s="5">
        <f t="shared" si="6"/>
        <v>105305.01553559391</v>
      </c>
      <c r="E132">
        <v>90000</v>
      </c>
      <c r="F132" s="4">
        <f t="shared" si="7"/>
        <v>0.17005572817326561</v>
      </c>
    </row>
    <row r="133" spans="1:6" x14ac:dyDescent="0.5">
      <c r="A133" s="3">
        <v>43630</v>
      </c>
      <c r="B133">
        <v>117537.37341607724</v>
      </c>
      <c r="C133" s="6">
        <f>VLOOKUP(A133,fund_value_simple[],8,FALSE)</f>
        <v>0.88605185145971432</v>
      </c>
      <c r="D133" s="5">
        <f t="shared" si="6"/>
        <v>104144.20733102705</v>
      </c>
      <c r="E133">
        <v>90000</v>
      </c>
      <c r="F133" s="4">
        <f t="shared" si="7"/>
        <v>0.15715785923363387</v>
      </c>
    </row>
    <row r="134" spans="1:6" x14ac:dyDescent="0.5">
      <c r="A134" s="3">
        <v>43633</v>
      </c>
      <c r="B134">
        <v>117537.37341607724</v>
      </c>
      <c r="C134" s="6">
        <f>VLOOKUP(A134,fund_value_simple[],8,FALSE)</f>
        <v>0.88230945274331951</v>
      </c>
      <c r="D134" s="5">
        <f t="shared" si="6"/>
        <v>103704.3356156263</v>
      </c>
      <c r="E134">
        <v>90000</v>
      </c>
      <c r="F134" s="4">
        <f t="shared" si="7"/>
        <v>0.15227039572918116</v>
      </c>
    </row>
    <row r="135" spans="1:6" x14ac:dyDescent="0.5">
      <c r="A135" s="3">
        <v>43634</v>
      </c>
      <c r="B135">
        <v>117537.37341607724</v>
      </c>
      <c r="C135" s="6">
        <f>VLOOKUP(A135,fund_value_simple[],8,FALSE)</f>
        <v>0.8790513389882747</v>
      </c>
      <c r="D135" s="5">
        <f t="shared" si="6"/>
        <v>103321.38548256754</v>
      </c>
      <c r="E135">
        <v>90000</v>
      </c>
      <c r="F135" s="4">
        <f t="shared" si="7"/>
        <v>0.14801539425075042</v>
      </c>
    </row>
    <row r="136" spans="1:6" x14ac:dyDescent="0.5">
      <c r="A136" s="3">
        <v>43635</v>
      </c>
      <c r="B136">
        <v>117537.37341607724</v>
      </c>
      <c r="C136" s="6">
        <f>VLOOKUP(A136,fund_value_simple[],8,FALSE)</f>
        <v>0.89654885257887518</v>
      </c>
      <c r="D136" s="5">
        <f t="shared" si="6"/>
        <v>105377.99727131883</v>
      </c>
      <c r="E136">
        <v>90000</v>
      </c>
      <c r="F136" s="4">
        <f t="shared" si="7"/>
        <v>0.17086663634798702</v>
      </c>
    </row>
    <row r="137" spans="1:6" x14ac:dyDescent="0.5">
      <c r="A137" s="3">
        <v>43636</v>
      </c>
      <c r="B137">
        <v>117537.37341607724</v>
      </c>
      <c r="C137" s="6">
        <f>VLOOKUP(A137,fund_value_simple[],8,FALSE)</f>
        <v>0.91433886229949546</v>
      </c>
      <c r="D137" s="5">
        <f t="shared" si="6"/>
        <v>107468.98828692702</v>
      </c>
      <c r="E137">
        <v>90000</v>
      </c>
      <c r="F137" s="4">
        <f t="shared" si="7"/>
        <v>0.1940998698547447</v>
      </c>
    </row>
    <row r="138" spans="1:6" x14ac:dyDescent="0.5">
      <c r="A138" s="3">
        <v>43637</v>
      </c>
      <c r="B138">
        <v>117537.37341607724</v>
      </c>
      <c r="C138" s="6">
        <f>VLOOKUP(A138,fund_value_simple[],8,FALSE)</f>
        <v>0.92330950831586955</v>
      </c>
      <c r="D138" s="5">
        <f t="shared" si="6"/>
        <v>108523.37445753704</v>
      </c>
      <c r="E138">
        <v>90000</v>
      </c>
      <c r="F138" s="4">
        <f t="shared" si="7"/>
        <v>0.2058152717504115</v>
      </c>
    </row>
    <row r="139" spans="1:6" x14ac:dyDescent="0.5">
      <c r="A139" s="3">
        <v>43640</v>
      </c>
      <c r="B139">
        <v>117537.37341607724</v>
      </c>
      <c r="C139" s="6">
        <f>VLOOKUP(A139,fund_value_simple[],8,FALSE)</f>
        <v>0.92278428977477511</v>
      </c>
      <c r="D139" s="5">
        <f t="shared" si="6"/>
        <v>108461.64164974737</v>
      </c>
      <c r="E139">
        <v>90000</v>
      </c>
      <c r="F139" s="4">
        <f t="shared" si="7"/>
        <v>0.20512935166385965</v>
      </c>
    </row>
    <row r="140" spans="1:6" x14ac:dyDescent="0.5">
      <c r="A140" s="3">
        <v>43641</v>
      </c>
      <c r="B140">
        <v>117537.37341607724</v>
      </c>
      <c r="C140" s="6">
        <f>VLOOKUP(A140,fund_value_simple[],8,FALSE)</f>
        <v>0.91365254785062511</v>
      </c>
      <c r="D140" s="5">
        <f t="shared" si="6"/>
        <v>107388.32068926931</v>
      </c>
      <c r="E140">
        <v>90000</v>
      </c>
      <c r="F140" s="4">
        <f t="shared" si="7"/>
        <v>0.19320356321410348</v>
      </c>
    </row>
    <row r="141" spans="1:6" x14ac:dyDescent="0.5">
      <c r="A141" s="3">
        <v>43642</v>
      </c>
      <c r="B141">
        <v>117537.37341607724</v>
      </c>
      <c r="C141" s="6">
        <f>VLOOKUP(A141,fund_value_simple[],8,FALSE)</f>
        <v>0.91849664062177783</v>
      </c>
      <c r="D141" s="5">
        <f t="shared" si="6"/>
        <v>107957.6826301744</v>
      </c>
      <c r="E141">
        <v>90000</v>
      </c>
      <c r="F141" s="4">
        <f t="shared" si="7"/>
        <v>0.19952980700193779</v>
      </c>
    </row>
    <row r="142" spans="1:6" x14ac:dyDescent="0.5">
      <c r="A142" s="3">
        <v>43643</v>
      </c>
      <c r="B142">
        <v>117537.37341607724</v>
      </c>
      <c r="C142" s="6">
        <f>VLOOKUP(A142,fund_value_simple[],8,FALSE)</f>
        <v>0.92910730415496945</v>
      </c>
      <c r="D142" s="5">
        <f t="shared" si="6"/>
        <v>109204.83215206749</v>
      </c>
      <c r="E142">
        <v>90000</v>
      </c>
      <c r="F142" s="4">
        <f t="shared" si="7"/>
        <v>0.21338702391186104</v>
      </c>
    </row>
    <row r="143" spans="1:6" x14ac:dyDescent="0.5">
      <c r="A143" s="3">
        <v>43644</v>
      </c>
      <c r="B143">
        <v>117537.37341607724</v>
      </c>
      <c r="C143" s="6">
        <f>VLOOKUP(A143,fund_value_simple[],8,FALSE)</f>
        <v>0.92125668253537707</v>
      </c>
      <c r="D143" s="5">
        <f t="shared" ref="D143:D178" si="8">B143*C143</f>
        <v>108282.09070721714</v>
      </c>
      <c r="E143">
        <v>90000</v>
      </c>
      <c r="F143" s="4">
        <f t="shared" ref="F143:F178" si="9">(D143-E143)/E143</f>
        <v>0.20313434119130155</v>
      </c>
    </row>
    <row r="144" spans="1:6" x14ac:dyDescent="0.5">
      <c r="A144" s="3">
        <v>43647</v>
      </c>
      <c r="B144">
        <v>117537.37341607724</v>
      </c>
      <c r="C144" s="6">
        <f>VLOOKUP(A144,fund_value_simple[],8,FALSE)</f>
        <v>0.94640931052838007</v>
      </c>
      <c r="D144" s="5">
        <f t="shared" si="8"/>
        <v>111238.46453602641</v>
      </c>
      <c r="E144">
        <v>90000</v>
      </c>
      <c r="F144" s="4">
        <f t="shared" si="9"/>
        <v>0.23598293928918235</v>
      </c>
    </row>
    <row r="145" spans="1:6" x14ac:dyDescent="0.5">
      <c r="A145" s="3">
        <v>43648</v>
      </c>
      <c r="B145">
        <v>117537.37341607724</v>
      </c>
      <c r="C145" s="6">
        <f>VLOOKUP(A145,fund_value_simple[],8,FALSE)</f>
        <v>0.9450026526691081</v>
      </c>
      <c r="D145" s="5">
        <f t="shared" si="8"/>
        <v>111073.12966595251</v>
      </c>
      <c r="E145">
        <v>90000</v>
      </c>
      <c r="F145" s="4">
        <f t="shared" si="9"/>
        <v>0.23414588517725013</v>
      </c>
    </row>
    <row r="146" spans="1:6" x14ac:dyDescent="0.5">
      <c r="A146" s="3">
        <v>43649</v>
      </c>
      <c r="B146">
        <v>117537.37341607724</v>
      </c>
      <c r="C146" s="6">
        <f>VLOOKUP(A146,fund_value_simple[],8,FALSE)</f>
        <v>0.94194769308890058</v>
      </c>
      <c r="D146" s="5">
        <f t="shared" si="8"/>
        <v>110714.05774100263</v>
      </c>
      <c r="E146">
        <v>90000</v>
      </c>
      <c r="F146" s="4">
        <f t="shared" si="9"/>
        <v>0.23015619712225147</v>
      </c>
    </row>
    <row r="147" spans="1:6" x14ac:dyDescent="0.5">
      <c r="A147" s="3">
        <v>43650</v>
      </c>
      <c r="B147">
        <v>117537.37341607724</v>
      </c>
      <c r="C147" s="6">
        <f>VLOOKUP(A147,fund_value_simple[],8,FALSE)</f>
        <v>0.9406356026058702</v>
      </c>
      <c r="D147" s="5">
        <f t="shared" si="8"/>
        <v>110559.83807194301</v>
      </c>
      <c r="E147">
        <v>90000</v>
      </c>
      <c r="F147" s="4">
        <f t="shared" si="9"/>
        <v>0.22844264524381125</v>
      </c>
    </row>
    <row r="148" spans="1:6" x14ac:dyDescent="0.5">
      <c r="A148" s="3">
        <v>43651</v>
      </c>
      <c r="B148">
        <v>117537.37341607724</v>
      </c>
      <c r="C148" s="6">
        <f>VLOOKUP(A148,fund_value_simple[],8,FALSE)</f>
        <v>0.94345159475959106</v>
      </c>
      <c r="D148" s="5">
        <f t="shared" si="8"/>
        <v>110890.82239325164</v>
      </c>
      <c r="E148">
        <v>90000</v>
      </c>
      <c r="F148" s="4">
        <f t="shared" si="9"/>
        <v>0.23212024881390714</v>
      </c>
    </row>
    <row r="149" spans="1:6" x14ac:dyDescent="0.5">
      <c r="A149" s="3">
        <v>43654</v>
      </c>
      <c r="B149">
        <v>117537.37341607724</v>
      </c>
      <c r="C149" s="6">
        <f>VLOOKUP(A149,fund_value_simple[],8,FALSE)</f>
        <v>0.91514408693978555</v>
      </c>
      <c r="D149" s="5">
        <f t="shared" si="8"/>
        <v>107563.63227615663</v>
      </c>
      <c r="E149">
        <v>90000</v>
      </c>
      <c r="F149" s="4">
        <f t="shared" si="9"/>
        <v>0.19515146973507363</v>
      </c>
    </row>
    <row r="150" spans="1:6" x14ac:dyDescent="0.5">
      <c r="A150" s="3">
        <v>43655</v>
      </c>
      <c r="B150">
        <v>117537.37341607724</v>
      </c>
      <c r="C150" s="6">
        <f>VLOOKUP(A150,fund_value_simple[],8,FALSE)</f>
        <v>0.91635727677057366</v>
      </c>
      <c r="D150" s="5">
        <f t="shared" si="8"/>
        <v>107706.22742232257</v>
      </c>
      <c r="E150">
        <v>90000</v>
      </c>
      <c r="F150" s="4">
        <f t="shared" si="9"/>
        <v>0.19673586024802853</v>
      </c>
    </row>
    <row r="151" spans="1:6" x14ac:dyDescent="0.5">
      <c r="A151" s="3">
        <v>43656</v>
      </c>
      <c r="B151">
        <v>117537.37341607724</v>
      </c>
      <c r="C151" s="6">
        <f>VLOOKUP(A151,fund_value_simple[],8,FALSE)</f>
        <v>0.9174259391018228</v>
      </c>
      <c r="D151" s="5">
        <f t="shared" si="8"/>
        <v>107831.83518580628</v>
      </c>
      <c r="E151">
        <v>90000</v>
      </c>
      <c r="F151" s="4">
        <f t="shared" si="9"/>
        <v>0.19813150206451424</v>
      </c>
    </row>
    <row r="152" spans="1:6" x14ac:dyDescent="0.5">
      <c r="A152" s="3">
        <v>43657</v>
      </c>
      <c r="B152">
        <v>117537.37341607724</v>
      </c>
      <c r="C152" s="6">
        <f>VLOOKUP(A152,fund_value_simple[],8,FALSE)</f>
        <v>0.91531525134179703</v>
      </c>
      <c r="D152" s="5">
        <f t="shared" si="8"/>
        <v>107583.75049039139</v>
      </c>
      <c r="E152">
        <v>90000</v>
      </c>
      <c r="F152" s="4">
        <f t="shared" si="9"/>
        <v>0.19537500544879327</v>
      </c>
    </row>
    <row r="153" spans="1:6" x14ac:dyDescent="0.5">
      <c r="A153" s="3">
        <v>43658</v>
      </c>
      <c r="B153">
        <v>117537.37341607724</v>
      </c>
      <c r="C153" s="6">
        <f>VLOOKUP(A153,fund_value_simple[],8,FALSE)</f>
        <v>0.91855412025342897</v>
      </c>
      <c r="D153" s="5">
        <f t="shared" si="8"/>
        <v>107964.43863510361</v>
      </c>
      <c r="E153">
        <v>90000</v>
      </c>
      <c r="F153" s="4">
        <f t="shared" si="9"/>
        <v>0.19960487372337343</v>
      </c>
    </row>
    <row r="154" spans="1:6" x14ac:dyDescent="0.5">
      <c r="A154" s="3">
        <v>43661</v>
      </c>
      <c r="B154">
        <v>117537.37341607724</v>
      </c>
      <c r="C154" s="6">
        <f>VLOOKUP(A154,fund_value_simple[],8,FALSE)</f>
        <v>0.93145683189218798</v>
      </c>
      <c r="D154" s="5">
        <f t="shared" si="8"/>
        <v>109480.98947106839</v>
      </c>
      <c r="E154">
        <v>90000</v>
      </c>
      <c r="F154" s="4">
        <f t="shared" si="9"/>
        <v>0.21645543856742652</v>
      </c>
    </row>
    <row r="155" spans="1:6" x14ac:dyDescent="0.5">
      <c r="A155" s="3">
        <v>43662</v>
      </c>
      <c r="B155">
        <v>117537.37341607724</v>
      </c>
      <c r="C155" s="6">
        <f>VLOOKUP(A155,fund_value_simple[],8,FALSE)</f>
        <v>0.93177175909797405</v>
      </c>
      <c r="D155" s="5">
        <f t="shared" si="8"/>
        <v>109518.00518765375</v>
      </c>
      <c r="E155">
        <v>90000</v>
      </c>
      <c r="F155" s="4">
        <f t="shared" si="9"/>
        <v>0.21686672430726386</v>
      </c>
    </row>
    <row r="156" spans="1:6" x14ac:dyDescent="0.5">
      <c r="A156" s="3">
        <v>43663</v>
      </c>
      <c r="B156">
        <v>117537.37341607724</v>
      </c>
      <c r="C156" s="6">
        <f>VLOOKUP(A156,fund_value_simple[],8,FALSE)</f>
        <v>0.93699503900901115</v>
      </c>
      <c r="D156" s="5">
        <f t="shared" si="8"/>
        <v>110131.93578901401</v>
      </c>
      <c r="E156">
        <v>90000</v>
      </c>
      <c r="F156" s="4">
        <f t="shared" si="9"/>
        <v>0.22368817543348898</v>
      </c>
    </row>
    <row r="157" spans="1:6" x14ac:dyDescent="0.5">
      <c r="A157" s="3">
        <v>43664</v>
      </c>
      <c r="B157">
        <v>117537.37341607724</v>
      </c>
      <c r="C157" s="6">
        <f>VLOOKUP(A157,fund_value_simple[],8,FALSE)</f>
        <v>0.92197954316095188</v>
      </c>
      <c r="D157" s="5">
        <f t="shared" si="8"/>
        <v>108367.0538464931</v>
      </c>
      <c r="E157">
        <v>90000</v>
      </c>
      <c r="F157" s="4">
        <f t="shared" si="9"/>
        <v>0.20407837607214557</v>
      </c>
    </row>
    <row r="158" spans="1:6" x14ac:dyDescent="0.5">
      <c r="A158" s="3">
        <v>43665</v>
      </c>
      <c r="B158">
        <v>117537.37341607724</v>
      </c>
      <c r="C158" s="6">
        <f>VLOOKUP(A158,fund_value_simple[],8,FALSE)</f>
        <v>0.92827433873341947</v>
      </c>
      <c r="D158" s="5">
        <f t="shared" si="8"/>
        <v>109106.9275842721</v>
      </c>
      <c r="E158">
        <v>90000</v>
      </c>
      <c r="F158" s="4">
        <f t="shared" si="9"/>
        <v>0.21229919538080108</v>
      </c>
    </row>
    <row r="159" spans="1:6" x14ac:dyDescent="0.5">
      <c r="A159" s="3">
        <v>43668</v>
      </c>
      <c r="B159">
        <v>117537.37341607724</v>
      </c>
      <c r="C159" s="6">
        <f>VLOOKUP(A159,fund_value_simple[],8,FALSE)</f>
        <v>0.91255011230471927</v>
      </c>
      <c r="D159" s="5">
        <f t="shared" si="8"/>
        <v>107258.74331084301</v>
      </c>
      <c r="E159">
        <v>90000</v>
      </c>
      <c r="F159" s="4">
        <f t="shared" si="9"/>
        <v>0.19176381456492236</v>
      </c>
    </row>
    <row r="160" spans="1:6" x14ac:dyDescent="0.5">
      <c r="A160" s="3">
        <v>43669</v>
      </c>
      <c r="B160">
        <v>117537.37341607724</v>
      </c>
      <c r="C160" s="6">
        <f>VLOOKUP(A160,fund_value_simple[],8,FALSE)</f>
        <v>0.93014548627278293</v>
      </c>
      <c r="D160" s="5">
        <f t="shared" si="8"/>
        <v>109326.85735132283</v>
      </c>
      <c r="E160">
        <v>90000</v>
      </c>
      <c r="F160" s="4">
        <f t="shared" si="9"/>
        <v>0.21474285945914259</v>
      </c>
    </row>
    <row r="161" spans="1:6" x14ac:dyDescent="0.5">
      <c r="A161" s="3">
        <v>43670</v>
      </c>
      <c r="B161">
        <v>117537.37341607724</v>
      </c>
      <c r="C161" s="6">
        <f>VLOOKUP(A161,fund_value_simple[],8,FALSE)</f>
        <v>0.94695267278999717</v>
      </c>
      <c r="D161" s="5">
        <f t="shared" si="8"/>
        <v>111302.32990907031</v>
      </c>
      <c r="E161">
        <v>90000</v>
      </c>
      <c r="F161" s="4">
        <f t="shared" si="9"/>
        <v>0.23669255454522564</v>
      </c>
    </row>
    <row r="162" spans="1:6" x14ac:dyDescent="0.5">
      <c r="A162" s="3">
        <v>43671</v>
      </c>
      <c r="B162">
        <v>117537.37341607724</v>
      </c>
      <c r="C162" s="6">
        <f>VLOOKUP(A162,fund_value_simple[],8,FALSE)</f>
        <v>0.95683105554758874</v>
      </c>
      <c r="D162" s="5">
        <f t="shared" si="8"/>
        <v>112463.40907199628</v>
      </c>
      <c r="E162">
        <v>90000</v>
      </c>
      <c r="F162" s="4">
        <f t="shared" si="9"/>
        <v>0.24959343413329205</v>
      </c>
    </row>
    <row r="163" spans="1:6" x14ac:dyDescent="0.5">
      <c r="A163" s="3">
        <v>43672</v>
      </c>
      <c r="B163">
        <v>117537.37341607724</v>
      </c>
      <c r="C163" s="6">
        <f>VLOOKUP(A163,fund_value_simple[],8,FALSE)</f>
        <v>0.9610286837789086</v>
      </c>
      <c r="D163" s="5">
        <f t="shared" si="8"/>
        <v>112956.78726888279</v>
      </c>
      <c r="E163">
        <v>90000</v>
      </c>
      <c r="F163" s="4">
        <f t="shared" si="9"/>
        <v>0.25507541409869766</v>
      </c>
    </row>
    <row r="164" spans="1:6" x14ac:dyDescent="0.5">
      <c r="A164" s="3">
        <v>43675</v>
      </c>
      <c r="B164">
        <v>117537.37341607724</v>
      </c>
      <c r="C164" s="6">
        <f>VLOOKUP(A164,fund_value_simple[],8,FALSE)</f>
        <v>0.96619152772112771</v>
      </c>
      <c r="D164" s="5">
        <f t="shared" si="8"/>
        <v>113563.61438520833</v>
      </c>
      <c r="E164">
        <v>90000</v>
      </c>
      <c r="F164" s="4">
        <f t="shared" si="9"/>
        <v>0.26181793761342592</v>
      </c>
    </row>
    <row r="165" spans="1:6" x14ac:dyDescent="0.5">
      <c r="A165" s="3">
        <v>43676</v>
      </c>
      <c r="B165">
        <v>117537.37341607724</v>
      </c>
      <c r="C165" s="6">
        <f>VLOOKUP(A165,fund_value_simple[],8,FALSE)</f>
        <v>0.96270921716849733</v>
      </c>
      <c r="D165" s="5">
        <f t="shared" si="8"/>
        <v>113154.31274943307</v>
      </c>
      <c r="E165">
        <v>90000</v>
      </c>
      <c r="F165" s="4">
        <f t="shared" si="9"/>
        <v>0.25727014166036744</v>
      </c>
    </row>
    <row r="166" spans="1:6" x14ac:dyDescent="0.5">
      <c r="A166" s="3">
        <v>43677</v>
      </c>
      <c r="B166">
        <v>117537.37341607724</v>
      </c>
      <c r="C166" s="6">
        <f>VLOOKUP(A166,fund_value_simple[],8,FALSE)</f>
        <v>0.96547065217845973</v>
      </c>
      <c r="D166" s="5">
        <f t="shared" si="8"/>
        <v>113478.88456736325</v>
      </c>
      <c r="E166">
        <v>90000</v>
      </c>
      <c r="F166" s="4">
        <f t="shared" si="9"/>
        <v>0.26087649519292494</v>
      </c>
    </row>
    <row r="167" spans="1:6" x14ac:dyDescent="0.5">
      <c r="A167" s="3">
        <v>43678</v>
      </c>
      <c r="B167">
        <v>117537.37341607724</v>
      </c>
      <c r="C167" s="6">
        <f>VLOOKUP(A167,fund_value_simple[],8,FALSE)</f>
        <v>0.95747782623721245</v>
      </c>
      <c r="D167" s="5">
        <f t="shared" si="8"/>
        <v>112539.42880005715</v>
      </c>
      <c r="E167">
        <v>90000</v>
      </c>
      <c r="F167" s="4">
        <f t="shared" si="9"/>
        <v>0.2504380977784128</v>
      </c>
    </row>
    <row r="168" spans="1:6" x14ac:dyDescent="0.5">
      <c r="A168" s="3">
        <v>43679</v>
      </c>
      <c r="B168">
        <v>117537.37341607724</v>
      </c>
      <c r="C168" s="6">
        <f>VLOOKUP(A168,fund_value_simple[],8,FALSE)</f>
        <v>0.9438645588861988</v>
      </c>
      <c r="D168" s="5">
        <f t="shared" si="8"/>
        <v>110939.36111200818</v>
      </c>
      <c r="E168">
        <v>90000</v>
      </c>
      <c r="F168" s="4">
        <f t="shared" si="9"/>
        <v>0.23265956791120196</v>
      </c>
    </row>
    <row r="169" spans="1:6" x14ac:dyDescent="0.5">
      <c r="A169" s="3">
        <v>43682</v>
      </c>
      <c r="B169">
        <v>117537.37341607724</v>
      </c>
      <c r="C169" s="6">
        <f>VLOOKUP(A169,fund_value_simple[],8,FALSE)</f>
        <v>0.93655535021428293</v>
      </c>
      <c r="D169" s="5">
        <f t="shared" si="8"/>
        <v>110080.25592296117</v>
      </c>
      <c r="E169">
        <v>90000</v>
      </c>
      <c r="F169" s="4">
        <f t="shared" si="9"/>
        <v>0.22311395469956849</v>
      </c>
    </row>
    <row r="170" spans="1:6" x14ac:dyDescent="0.5">
      <c r="A170" s="3">
        <v>43683</v>
      </c>
      <c r="B170">
        <v>117537.37341607724</v>
      </c>
      <c r="C170" s="6">
        <f>VLOOKUP(A170,fund_value_simple[],8,FALSE)</f>
        <v>0.91515036925931093</v>
      </c>
      <c r="D170" s="5">
        <f t="shared" si="8"/>
        <v>107564.37068349261</v>
      </c>
      <c r="E170">
        <v>90000</v>
      </c>
      <c r="F170" s="4">
        <f t="shared" si="9"/>
        <v>0.19515967426102904</v>
      </c>
    </row>
    <row r="171" spans="1:6" x14ac:dyDescent="0.5">
      <c r="A171" s="3">
        <v>43684</v>
      </c>
      <c r="B171">
        <v>117537.37341607724</v>
      </c>
      <c r="C171" s="6">
        <f>VLOOKUP(A171,fund_value_simple[],8,FALSE)</f>
        <v>0.90030963735634717</v>
      </c>
      <c r="D171" s="5">
        <f t="shared" si="8"/>
        <v>105820.03003604607</v>
      </c>
      <c r="E171">
        <v>90000</v>
      </c>
      <c r="F171" s="4">
        <f t="shared" si="9"/>
        <v>0.17577811151162298</v>
      </c>
    </row>
    <row r="172" spans="1:6" x14ac:dyDescent="0.5">
      <c r="A172" s="3">
        <v>43685</v>
      </c>
      <c r="B172">
        <v>117537.37341607724</v>
      </c>
      <c r="C172" s="6">
        <f>VLOOKUP(A172,fund_value_simple[],8,FALSE)</f>
        <v>0.92122696720892649</v>
      </c>
      <c r="D172" s="5">
        <f t="shared" si="8"/>
        <v>108278.59804579594</v>
      </c>
      <c r="E172">
        <v>90000</v>
      </c>
      <c r="F172" s="4">
        <f t="shared" si="9"/>
        <v>0.20309553384217707</v>
      </c>
    </row>
    <row r="173" spans="1:6" x14ac:dyDescent="0.5">
      <c r="A173" s="3">
        <v>43686</v>
      </c>
      <c r="B173">
        <v>117537.37341607724</v>
      </c>
      <c r="C173" s="6">
        <f>VLOOKUP(A173,fund_value_simple[],8,FALSE)</f>
        <v>0.9068158376068044</v>
      </c>
      <c r="D173" s="5">
        <f t="shared" si="8"/>
        <v>106584.75172440383</v>
      </c>
      <c r="E173">
        <v>90000</v>
      </c>
      <c r="F173" s="4">
        <f t="shared" si="9"/>
        <v>0.18427501916004257</v>
      </c>
    </row>
    <row r="174" spans="1:6" x14ac:dyDescent="0.5">
      <c r="A174" s="3">
        <v>43689</v>
      </c>
      <c r="B174">
        <v>117537.37341607724</v>
      </c>
      <c r="C174" s="6">
        <f>VLOOKUP(A174,fund_value_simple[],8,FALSE)</f>
        <v>0.930544211551523</v>
      </c>
      <c r="D174" s="5">
        <f t="shared" si="8"/>
        <v>109373.72247330054</v>
      </c>
      <c r="E174">
        <v>90000</v>
      </c>
      <c r="F174" s="4">
        <f t="shared" si="9"/>
        <v>0.2152635830366727</v>
      </c>
    </row>
    <row r="175" spans="1:6" x14ac:dyDescent="0.5">
      <c r="A175" s="3">
        <v>43690</v>
      </c>
      <c r="B175">
        <v>117537.37341607724</v>
      </c>
      <c r="C175" s="6">
        <f>VLOOKUP(A175,fund_value_simple[],8,FALSE)</f>
        <v>0.92440956480035608</v>
      </c>
      <c r="D175" s="5">
        <f t="shared" si="8"/>
        <v>108652.6722073329</v>
      </c>
      <c r="E175">
        <v>90000</v>
      </c>
      <c r="F175" s="4">
        <f t="shared" si="9"/>
        <v>0.20725191341481</v>
      </c>
    </row>
    <row r="176" spans="1:6" x14ac:dyDescent="0.5">
      <c r="A176" s="3">
        <v>43691</v>
      </c>
      <c r="B176">
        <v>117537.37341607724</v>
      </c>
      <c r="C176" s="6">
        <f>VLOOKUP(A176,fund_value_simple[],8,FALSE)</f>
        <v>0.93176797086082053</v>
      </c>
      <c r="D176" s="5">
        <f t="shared" si="8"/>
        <v>109517.55992820884</v>
      </c>
      <c r="E176">
        <v>90000</v>
      </c>
      <c r="F176" s="4">
        <f t="shared" si="9"/>
        <v>0.21686177698009818</v>
      </c>
    </row>
    <row r="177" spans="1:6" x14ac:dyDescent="0.5">
      <c r="A177" s="3">
        <v>43692</v>
      </c>
      <c r="B177">
        <v>117537.37341607724</v>
      </c>
      <c r="C177" s="6">
        <f>VLOOKUP(A177,fund_value_simple[],8,FALSE)</f>
        <v>0.93871859438272853</v>
      </c>
      <c r="D177" s="5">
        <f t="shared" si="8"/>
        <v>110334.51796057791</v>
      </c>
      <c r="E177">
        <v>90000</v>
      </c>
      <c r="F177" s="4">
        <f t="shared" si="9"/>
        <v>0.22593908845086569</v>
      </c>
    </row>
    <row r="178" spans="1:6" x14ac:dyDescent="0.5">
      <c r="A178" s="3">
        <v>43693</v>
      </c>
      <c r="B178">
        <v>117537.37341607724</v>
      </c>
      <c r="C178" s="6">
        <f>VLOOKUP(A178,fund_value_simple[],8,FALSE)</f>
        <v>0.9418324391382783</v>
      </c>
      <c r="D178" s="5">
        <f t="shared" si="8"/>
        <v>110700.51109437065</v>
      </c>
      <c r="E178">
        <v>90000</v>
      </c>
      <c r="F178" s="4">
        <f t="shared" si="9"/>
        <v>0.2300056788263406</v>
      </c>
    </row>
    <row r="179" spans="1:6" x14ac:dyDescent="0.5">
      <c r="A179" s="3">
        <v>43696</v>
      </c>
      <c r="B179">
        <v>117537.37341607724</v>
      </c>
      <c r="C179" s="6">
        <f>VLOOKUP(A179,fund_value_simple[],8,FALSE)</f>
        <v>0.97695278746401415</v>
      </c>
      <c r="D179" s="5">
        <f t="shared" ref="D179:D185" si="10">B179*C179</f>
        <v>114828.46459003538</v>
      </c>
      <c r="E179">
        <v>90000</v>
      </c>
      <c r="F179" s="4">
        <f t="shared" ref="F179:F242" si="11">(D179-E179)/E179</f>
        <v>0.2758718287781709</v>
      </c>
    </row>
    <row r="180" spans="1:6" x14ac:dyDescent="0.5">
      <c r="A180" s="3">
        <v>43697</v>
      </c>
      <c r="B180">
        <v>117537.37341607724</v>
      </c>
      <c r="C180" s="6">
        <f>VLOOKUP(A180,fund_value_simple[],8,FALSE)</f>
        <v>0.97630807524253049</v>
      </c>
      <c r="D180" s="5">
        <f t="shared" si="10"/>
        <v>114752.68680891294</v>
      </c>
      <c r="E180">
        <v>90000</v>
      </c>
      <c r="F180" s="4">
        <f t="shared" si="11"/>
        <v>0.27502985343236602</v>
      </c>
    </row>
    <row r="181" spans="1:6" x14ac:dyDescent="0.5">
      <c r="A181" s="3">
        <v>43698</v>
      </c>
      <c r="B181">
        <v>117537.37341607724</v>
      </c>
      <c r="C181" s="6">
        <f>VLOOKUP(A181,fund_value_simple[],8,FALSE)</f>
        <v>0.97935934256662094</v>
      </c>
      <c r="D181" s="5">
        <f t="shared" si="10"/>
        <v>115111.32475577683</v>
      </c>
      <c r="E181">
        <v>90000</v>
      </c>
      <c r="F181" s="4">
        <f t="shared" si="11"/>
        <v>0.27901471950863149</v>
      </c>
    </row>
    <row r="182" spans="1:6" x14ac:dyDescent="0.5">
      <c r="A182" s="3">
        <v>43699</v>
      </c>
      <c r="B182">
        <v>117537.37341607724</v>
      </c>
      <c r="C182" s="6">
        <f>VLOOKUP(A182,fund_value_simple[],8,FALSE)</f>
        <v>0.9842332494054995</v>
      </c>
      <c r="D182" s="5">
        <f t="shared" si="10"/>
        <v>115684.19096389328</v>
      </c>
      <c r="E182">
        <v>90000</v>
      </c>
      <c r="F182" s="4">
        <f t="shared" si="11"/>
        <v>0.28537989959881427</v>
      </c>
    </row>
    <row r="183" spans="1:6" x14ac:dyDescent="0.5">
      <c r="A183" s="3">
        <v>43700</v>
      </c>
      <c r="B183">
        <v>117537.37341607724</v>
      </c>
      <c r="C183" s="6">
        <f>VLOOKUP(A183,fund_value_simple[],8,FALSE)</f>
        <v>0.97866684068718379</v>
      </c>
      <c r="D183" s="5">
        <f t="shared" si="10"/>
        <v>115029.9299037821</v>
      </c>
      <c r="E183">
        <v>90000</v>
      </c>
      <c r="F183" s="4">
        <f t="shared" si="11"/>
        <v>0.27811033226424559</v>
      </c>
    </row>
    <row r="184" spans="1:6" x14ac:dyDescent="0.5">
      <c r="A184" s="3">
        <v>43703</v>
      </c>
      <c r="B184">
        <v>117537.37341607724</v>
      </c>
      <c r="C184" s="6">
        <f>VLOOKUP(A184,fund_value_simple[],8,FALSE)</f>
        <v>0.97607703176652505</v>
      </c>
      <c r="D184" s="5">
        <f t="shared" si="10"/>
        <v>114725.53056559834</v>
      </c>
      <c r="E184">
        <v>90000</v>
      </c>
      <c r="F184" s="4">
        <f t="shared" si="11"/>
        <v>0.2747281173955371</v>
      </c>
    </row>
    <row r="185" spans="1:6" x14ac:dyDescent="0.5">
      <c r="A185" s="3">
        <v>43704</v>
      </c>
      <c r="B185">
        <v>117537.37341607724</v>
      </c>
      <c r="C185" s="6">
        <f>VLOOKUP(A185,fund_value_simple[],8,FALSE)</f>
        <v>0.99422904977219195</v>
      </c>
      <c r="D185" s="5">
        <f t="shared" si="10"/>
        <v>116859.07108418578</v>
      </c>
      <c r="E185">
        <v>90000</v>
      </c>
      <c r="F185" s="4">
        <f t="shared" si="11"/>
        <v>0.2984341231576198</v>
      </c>
    </row>
    <row r="186" spans="1:6" x14ac:dyDescent="0.5">
      <c r="A186" s="3">
        <v>43705</v>
      </c>
      <c r="B186">
        <v>117537.37341607724</v>
      </c>
      <c r="C186" s="6">
        <f>VLOOKUP(A186,fund_value_simple[],8,FALSE)</f>
        <v>0.9929864579709754</v>
      </c>
      <c r="D186" s="5">
        <f t="shared" ref="D186:D249" si="12">B186*C186</f>
        <v>116713.02010764243</v>
      </c>
      <c r="E186">
        <v>90000</v>
      </c>
      <c r="F186" s="4">
        <f t="shared" si="11"/>
        <v>0.29681133452936032</v>
      </c>
    </row>
    <row r="187" spans="1:6" x14ac:dyDescent="0.5">
      <c r="A187" s="3">
        <v>43706</v>
      </c>
      <c r="B187">
        <v>117537.37341607724</v>
      </c>
      <c r="C187" s="6">
        <f>VLOOKUP(A187,fund_value_simple[],8,FALSE)</f>
        <v>0.9978439150281988</v>
      </c>
      <c r="D187" s="5">
        <f t="shared" si="12"/>
        <v>117283.95285162986</v>
      </c>
      <c r="E187">
        <v>90000</v>
      </c>
      <c r="F187" s="4">
        <f t="shared" si="11"/>
        <v>0.3031550316847762</v>
      </c>
    </row>
    <row r="188" spans="1:6" x14ac:dyDescent="0.5">
      <c r="A188" s="3">
        <v>43707</v>
      </c>
      <c r="B188">
        <v>117537.37341607724</v>
      </c>
      <c r="C188" s="6">
        <f>VLOOKUP(A188,fund_value_simple[],8,FALSE)</f>
        <v>1.0040578389836152</v>
      </c>
      <c r="D188" s="5">
        <f t="shared" si="12"/>
        <v>118014.32115195674</v>
      </c>
      <c r="E188">
        <v>90000</v>
      </c>
      <c r="F188" s="4">
        <f t="shared" si="11"/>
        <v>0.31127023502174156</v>
      </c>
    </row>
    <row r="189" spans="1:6" x14ac:dyDescent="0.5">
      <c r="A189" s="3">
        <v>43710</v>
      </c>
      <c r="B189">
        <v>117537.37341607724</v>
      </c>
      <c r="C189" s="6">
        <f>VLOOKUP(A189,fund_value_simple[],8,FALSE)</f>
        <v>1.0317176816908618</v>
      </c>
      <c r="D189" s="5">
        <f t="shared" si="12"/>
        <v>121265.38641286833</v>
      </c>
      <c r="E189">
        <v>90000</v>
      </c>
      <c r="F189" s="4">
        <f t="shared" si="11"/>
        <v>0.34739318236520372</v>
      </c>
    </row>
    <row r="190" spans="1:6" x14ac:dyDescent="0.5">
      <c r="A190" s="3">
        <v>43711</v>
      </c>
      <c r="B190">
        <v>117537.37341607724</v>
      </c>
      <c r="C190" s="6">
        <f>VLOOKUP(A190,fund_value_simple[],8,FALSE)</f>
        <v>1.038640814727819</v>
      </c>
      <c r="D190" s="5">
        <f t="shared" si="12"/>
        <v>122079.11328584237</v>
      </c>
      <c r="E190">
        <v>90000</v>
      </c>
      <c r="F190" s="4">
        <f t="shared" si="11"/>
        <v>0.35643459206491518</v>
      </c>
    </row>
    <row r="191" spans="1:6" x14ac:dyDescent="0.5">
      <c r="A191" s="3">
        <v>43712</v>
      </c>
      <c r="B191">
        <v>117537.37341607724</v>
      </c>
      <c r="C191" s="6">
        <f>VLOOKUP(A191,fund_value_simple[],8,FALSE)</f>
        <v>1.0458557825400772</v>
      </c>
      <c r="D191" s="5">
        <f t="shared" si="12"/>
        <v>122927.14165177672</v>
      </c>
      <c r="E191">
        <v>90000</v>
      </c>
      <c r="F191" s="4">
        <f t="shared" si="11"/>
        <v>0.3658571294641858</v>
      </c>
    </row>
    <row r="192" spans="1:6" x14ac:dyDescent="0.5">
      <c r="A192" s="3">
        <v>43713</v>
      </c>
      <c r="B192">
        <v>117537.37341607724</v>
      </c>
      <c r="C192" s="6">
        <f>VLOOKUP(A192,fund_value_simple[],8,FALSE)</f>
        <v>1.0518791119642088</v>
      </c>
      <c r="D192" s="5">
        <f t="shared" si="12"/>
        <v>123635.10797150893</v>
      </c>
      <c r="E192">
        <v>90000</v>
      </c>
      <c r="F192" s="4">
        <f t="shared" si="11"/>
        <v>0.37372342190565477</v>
      </c>
    </row>
    <row r="193" spans="1:6" x14ac:dyDescent="0.5">
      <c r="A193" s="3">
        <v>43714</v>
      </c>
      <c r="B193">
        <v>117537.37341607724</v>
      </c>
      <c r="C193" s="6">
        <f>VLOOKUP(A193,fund_value_simple[],8,FALSE)</f>
        <v>1.0548769798456639</v>
      </c>
      <c r="D193" s="5">
        <f t="shared" si="12"/>
        <v>123987.46948814359</v>
      </c>
      <c r="E193">
        <v>90000</v>
      </c>
      <c r="F193" s="4">
        <f t="shared" si="11"/>
        <v>0.37763854986826206</v>
      </c>
    </row>
    <row r="194" spans="1:6" x14ac:dyDescent="0.5">
      <c r="A194" s="3">
        <v>43717</v>
      </c>
      <c r="B194">
        <v>117537.37341607724</v>
      </c>
      <c r="C194" s="6">
        <f>VLOOKUP(A194,fund_value_simple[],8,FALSE)</f>
        <v>1.0667198069464516</v>
      </c>
      <c r="D194" s="5">
        <f t="shared" si="12"/>
        <v>125379.44427939091</v>
      </c>
      <c r="E194">
        <v>90000</v>
      </c>
      <c r="F194" s="4">
        <f t="shared" si="11"/>
        <v>0.3931049364376768</v>
      </c>
    </row>
    <row r="195" spans="1:6" x14ac:dyDescent="0.5">
      <c r="A195" s="3">
        <v>43718</v>
      </c>
      <c r="B195">
        <v>117537.37341607724</v>
      </c>
      <c r="C195" s="6">
        <f>VLOOKUP(A195,fund_value_simple[],8,FALSE)</f>
        <v>1.0612311731451445</v>
      </c>
      <c r="D195" s="5">
        <f t="shared" si="12"/>
        <v>124734.32467874257</v>
      </c>
      <c r="E195">
        <v>90000</v>
      </c>
      <c r="F195" s="4">
        <f t="shared" si="11"/>
        <v>0.38593694087491748</v>
      </c>
    </row>
    <row r="196" spans="1:6" x14ac:dyDescent="0.5">
      <c r="A196" s="3">
        <v>43719</v>
      </c>
      <c r="B196">
        <v>117537.37341607724</v>
      </c>
      <c r="C196" s="6">
        <f>VLOOKUP(A196,fund_value_simple[],8,FALSE)</f>
        <v>1.0570814648987765</v>
      </c>
      <c r="D196" s="5">
        <f t="shared" si="12"/>
        <v>124246.57887102144</v>
      </c>
      <c r="E196">
        <v>90000</v>
      </c>
      <c r="F196" s="4">
        <f t="shared" si="11"/>
        <v>0.38051754301134932</v>
      </c>
    </row>
    <row r="197" spans="1:6" x14ac:dyDescent="0.5">
      <c r="A197" s="3">
        <v>43720</v>
      </c>
      <c r="B197">
        <v>117537.37341607724</v>
      </c>
      <c r="C197" s="6">
        <f>VLOOKUP(A197,fund_value_simple[],8,FALSE)</f>
        <v>1.0579478603689154</v>
      </c>
      <c r="D197" s="5">
        <f t="shared" si="12"/>
        <v>124348.41271892116</v>
      </c>
      <c r="E197">
        <v>90000</v>
      </c>
      <c r="F197" s="4">
        <f t="shared" si="11"/>
        <v>0.38164903021023511</v>
      </c>
    </row>
    <row r="198" spans="1:6" x14ac:dyDescent="0.5">
      <c r="A198" s="3">
        <v>43724</v>
      </c>
      <c r="B198">
        <v>117537.37341607724</v>
      </c>
      <c r="C198" s="6">
        <f>VLOOKUP(A198,fund_value_simple[],8,FALSE)</f>
        <v>1.0576832588717628</v>
      </c>
      <c r="D198" s="5">
        <f t="shared" si="12"/>
        <v>124317.31215394389</v>
      </c>
      <c r="E198">
        <v>90000</v>
      </c>
      <c r="F198" s="4">
        <f t="shared" si="11"/>
        <v>0.38130346837715429</v>
      </c>
    </row>
    <row r="199" spans="1:6" x14ac:dyDescent="0.5">
      <c r="A199" s="3">
        <v>43725</v>
      </c>
      <c r="B199">
        <v>117537.37341607724</v>
      </c>
      <c r="C199" s="6">
        <f>VLOOKUP(A199,fund_value_simple[],8,FALSE)</f>
        <v>1.0535670417682392</v>
      </c>
      <c r="D199" s="5">
        <f t="shared" si="12"/>
        <v>123833.50280718539</v>
      </c>
      <c r="E199">
        <v>90000</v>
      </c>
      <c r="F199" s="4">
        <f t="shared" si="11"/>
        <v>0.37592780896872652</v>
      </c>
    </row>
    <row r="200" spans="1:6" x14ac:dyDescent="0.5">
      <c r="A200" s="3">
        <v>43726</v>
      </c>
      <c r="B200">
        <v>117537.37341607724</v>
      </c>
      <c r="C200" s="6">
        <f>VLOOKUP(A200,fund_value_simple[],8,FALSE)</f>
        <v>1.0532515863322325</v>
      </c>
      <c r="D200" s="5">
        <f t="shared" si="12"/>
        <v>123796.42500380732</v>
      </c>
      <c r="E200">
        <v>90000</v>
      </c>
      <c r="F200" s="4">
        <f t="shared" si="11"/>
        <v>0.37551583337563693</v>
      </c>
    </row>
    <row r="201" spans="1:6" x14ac:dyDescent="0.5">
      <c r="A201" s="3">
        <v>43727</v>
      </c>
      <c r="B201">
        <v>117537.37341607724</v>
      </c>
      <c r="C201" s="6">
        <f>VLOOKUP(A201,fund_value_simple[],8,FALSE)</f>
        <v>1.0563135838400013</v>
      </c>
      <c r="D201" s="5">
        <f t="shared" si="12"/>
        <v>124156.32414827705</v>
      </c>
      <c r="E201">
        <v>90000</v>
      </c>
      <c r="F201" s="4">
        <f t="shared" si="11"/>
        <v>0.37951471275863391</v>
      </c>
    </row>
    <row r="202" spans="1:6" x14ac:dyDescent="0.5">
      <c r="A202" s="3">
        <v>43728</v>
      </c>
      <c r="B202">
        <v>117537.37341607724</v>
      </c>
      <c r="C202" s="6">
        <f>VLOOKUP(A202,fund_value_simple[],8,FALSE)</f>
        <v>1.0588240643428282</v>
      </c>
      <c r="D202" s="5">
        <f t="shared" si="12"/>
        <v>124451.3994325916</v>
      </c>
      <c r="E202">
        <v>90000</v>
      </c>
      <c r="F202" s="4">
        <f t="shared" si="11"/>
        <v>0.38279332702879554</v>
      </c>
    </row>
    <row r="203" spans="1:6" x14ac:dyDescent="0.5">
      <c r="A203" s="3">
        <v>43731</v>
      </c>
      <c r="B203">
        <v>117537.37341607724</v>
      </c>
      <c r="C203" s="6">
        <f>VLOOKUP(A203,fund_value_simple[],8,FALSE)</f>
        <v>1.0623411710585291</v>
      </c>
      <c r="D203" s="5">
        <f t="shared" si="12"/>
        <v>124864.79091797913</v>
      </c>
      <c r="E203">
        <v>90000</v>
      </c>
      <c r="F203" s="4">
        <f t="shared" si="11"/>
        <v>0.38738656575532371</v>
      </c>
    </row>
    <row r="204" spans="1:6" x14ac:dyDescent="0.5">
      <c r="A204" s="3">
        <v>43732</v>
      </c>
      <c r="B204">
        <v>117537.37341607724</v>
      </c>
      <c r="C204" s="6">
        <f>VLOOKUP(A204,fund_value_simple[],8,FALSE)</f>
        <v>1.0623920249973835</v>
      </c>
      <c r="D204" s="5">
        <f t="shared" si="12"/>
        <v>124870.76815637993</v>
      </c>
      <c r="E204">
        <v>90000</v>
      </c>
      <c r="F204" s="4">
        <f t="shared" si="11"/>
        <v>0.38745297951533253</v>
      </c>
    </row>
    <row r="205" spans="1:6" x14ac:dyDescent="0.5">
      <c r="A205" s="3">
        <v>43733</v>
      </c>
      <c r="B205">
        <v>117537.37341607724</v>
      </c>
      <c r="C205" s="6">
        <f>VLOOKUP(A205,fund_value_simple[],8,FALSE)</f>
        <v>1.0536993559347414</v>
      </c>
      <c r="D205" s="5">
        <f t="shared" si="12"/>
        <v>123849.05466678178</v>
      </c>
      <c r="E205">
        <v>90000</v>
      </c>
      <c r="F205" s="4">
        <f t="shared" si="11"/>
        <v>0.3761006074086865</v>
      </c>
    </row>
    <row r="206" spans="1:6" x14ac:dyDescent="0.5">
      <c r="A206" s="3">
        <v>43734</v>
      </c>
      <c r="B206">
        <v>117537.37341607724</v>
      </c>
      <c r="C206" s="6">
        <f>VLOOKUP(A206,fund_value_simple[],8,FALSE)</f>
        <v>1.0456859693666909</v>
      </c>
      <c r="D206" s="5">
        <f t="shared" si="12"/>
        <v>122907.18225740545</v>
      </c>
      <c r="E206">
        <v>90000</v>
      </c>
      <c r="F206" s="4">
        <f t="shared" si="11"/>
        <v>0.36563535841561612</v>
      </c>
    </row>
    <row r="207" spans="1:6" x14ac:dyDescent="0.5">
      <c r="A207" s="3">
        <v>43735</v>
      </c>
      <c r="B207">
        <v>117537.37341607724</v>
      </c>
      <c r="C207" s="6">
        <f>VLOOKUP(A207,fund_value_simple[],8,FALSE)</f>
        <v>1.0457765403659698</v>
      </c>
      <c r="D207" s="5">
        <f t="shared" si="12"/>
        <v>122917.82773476836</v>
      </c>
      <c r="E207">
        <v>90000</v>
      </c>
      <c r="F207" s="4">
        <f t="shared" si="11"/>
        <v>0.36575364149742623</v>
      </c>
    </row>
    <row r="208" spans="1:6" x14ac:dyDescent="0.5">
      <c r="A208" s="3">
        <v>43738</v>
      </c>
      <c r="B208">
        <v>117537.37341607724</v>
      </c>
      <c r="C208" s="6">
        <f>VLOOKUP(A208,fund_value_simple[],8,FALSE)</f>
        <v>1.0453035584808468</v>
      </c>
      <c r="D208" s="5">
        <f t="shared" si="12"/>
        <v>122862.23468631762</v>
      </c>
      <c r="E208">
        <v>90000</v>
      </c>
      <c r="F208" s="4">
        <f t="shared" si="11"/>
        <v>0.36513594095908469</v>
      </c>
    </row>
    <row r="209" spans="1:6" x14ac:dyDescent="0.5">
      <c r="A209" s="3">
        <v>43746</v>
      </c>
      <c r="B209">
        <v>117537.37341607724</v>
      </c>
      <c r="C209" s="6">
        <f>VLOOKUP(A209,fund_value_simple[],8,FALSE)</f>
        <v>1.0455551445899547</v>
      </c>
      <c r="D209" s="5">
        <f t="shared" si="12"/>
        <v>122891.80545677013</v>
      </c>
      <c r="E209">
        <v>90000</v>
      </c>
      <c r="F209" s="4">
        <f t="shared" si="11"/>
        <v>0.36546450507522371</v>
      </c>
    </row>
    <row r="210" spans="1:6" x14ac:dyDescent="0.5">
      <c r="A210" s="3">
        <v>43747</v>
      </c>
      <c r="B210">
        <v>117537.37341607724</v>
      </c>
      <c r="C210" s="6">
        <f>VLOOKUP(A210,fund_value_simple[],8,FALSE)</f>
        <v>1.0456658424779623</v>
      </c>
      <c r="D210" s="5">
        <f t="shared" si="12"/>
        <v>122904.81659576927</v>
      </c>
      <c r="E210">
        <v>90000</v>
      </c>
      <c r="F210" s="4">
        <f t="shared" si="11"/>
        <v>0.36560907328632519</v>
      </c>
    </row>
    <row r="211" spans="1:6" x14ac:dyDescent="0.5">
      <c r="A211" s="3">
        <v>43748</v>
      </c>
      <c r="B211">
        <v>117537.37341607724</v>
      </c>
      <c r="C211" s="6">
        <f>VLOOKUP(A211,fund_value_simple[],8,FALSE)</f>
        <v>1.0459476189201633</v>
      </c>
      <c r="D211" s="5">
        <f t="shared" si="12"/>
        <v>122937.93585867609</v>
      </c>
      <c r="E211">
        <v>90000</v>
      </c>
      <c r="F211" s="4">
        <f t="shared" si="11"/>
        <v>0.36597706509640104</v>
      </c>
    </row>
    <row r="212" spans="1:6" x14ac:dyDescent="0.5">
      <c r="A212" s="3">
        <v>43749</v>
      </c>
      <c r="B212">
        <v>117537.37341607724</v>
      </c>
      <c r="C212" s="6">
        <f>VLOOKUP(A212,fund_value_simple[],8,FALSE)</f>
        <v>1.0464306642496506</v>
      </c>
      <c r="D212" s="5">
        <f t="shared" si="12"/>
        <v>122994.71173794493</v>
      </c>
      <c r="E212">
        <v>90000</v>
      </c>
      <c r="F212" s="4">
        <f t="shared" si="11"/>
        <v>0.36660790819938815</v>
      </c>
    </row>
    <row r="213" spans="1:6" x14ac:dyDescent="0.5">
      <c r="A213" s="3">
        <v>43752</v>
      </c>
      <c r="B213">
        <v>117537.37341607724</v>
      </c>
      <c r="C213" s="6">
        <f>VLOOKUP(A213,fund_value_simple[],8,FALSE)</f>
        <v>1.0453327424695034</v>
      </c>
      <c r="D213" s="5">
        <f t="shared" si="12"/>
        <v>122865.66489569012</v>
      </c>
      <c r="E213">
        <v>90000</v>
      </c>
      <c r="F213" s="4">
        <f t="shared" si="11"/>
        <v>0.36517405439655687</v>
      </c>
    </row>
    <row r="214" spans="1:6" x14ac:dyDescent="0.5">
      <c r="A214" s="3">
        <v>43753</v>
      </c>
      <c r="B214">
        <v>117537.37341607724</v>
      </c>
      <c r="C214" s="6">
        <f>VLOOKUP(A214,fund_value_simple[],8,FALSE)</f>
        <v>1.0439357468838153</v>
      </c>
      <c r="D214" s="5">
        <f t="shared" si="12"/>
        <v>122701.46570387449</v>
      </c>
      <c r="E214">
        <v>90000</v>
      </c>
      <c r="F214" s="4">
        <f t="shared" si="11"/>
        <v>0.36334961893193879</v>
      </c>
    </row>
    <row r="215" spans="1:6" x14ac:dyDescent="0.5">
      <c r="A215" s="3">
        <v>43754</v>
      </c>
      <c r="B215">
        <v>117537.37341607724</v>
      </c>
      <c r="C215" s="6">
        <f>VLOOKUP(A215,fund_value_simple[],8,FALSE)</f>
        <v>1.0438694607902399</v>
      </c>
      <c r="D215" s="5">
        <f t="shared" si="12"/>
        <v>122693.67461054162</v>
      </c>
      <c r="E215">
        <v>90000</v>
      </c>
      <c r="F215" s="4">
        <f t="shared" si="11"/>
        <v>0.36326305122824026</v>
      </c>
    </row>
    <row r="216" spans="1:6" x14ac:dyDescent="0.5">
      <c r="A216" s="3">
        <v>43755</v>
      </c>
      <c r="B216">
        <v>117537.37341607724</v>
      </c>
      <c r="C216" s="6">
        <f>VLOOKUP(A216,fund_value_simple[],8,FALSE)</f>
        <v>1.0435575343819443</v>
      </c>
      <c r="D216" s="5">
        <f t="shared" si="12"/>
        <v>122657.01159981146</v>
      </c>
      <c r="E216">
        <v>90000</v>
      </c>
      <c r="F216" s="4">
        <f t="shared" si="11"/>
        <v>0.36285568444234961</v>
      </c>
    </row>
    <row r="217" spans="1:6" x14ac:dyDescent="0.5">
      <c r="A217" s="3">
        <v>43756</v>
      </c>
      <c r="B217">
        <v>117537.37341607724</v>
      </c>
      <c r="C217" s="6">
        <f>VLOOKUP(A217,fund_value_simple[],8,FALSE)</f>
        <v>1.040147787580513</v>
      </c>
      <c r="D217" s="5">
        <f t="shared" si="12"/>
        <v>122256.23891675734</v>
      </c>
      <c r="E217">
        <v>90000</v>
      </c>
      <c r="F217" s="4">
        <f t="shared" si="11"/>
        <v>0.35840265463063714</v>
      </c>
    </row>
    <row r="218" spans="1:6" x14ac:dyDescent="0.5">
      <c r="A218" s="3">
        <v>43759</v>
      </c>
      <c r="B218">
        <v>117537.37341607724</v>
      </c>
      <c r="C218" s="6">
        <f>VLOOKUP(A218,fund_value_simple[],8,FALSE)</f>
        <v>1.0360953458402113</v>
      </c>
      <c r="D218" s="5">
        <f t="shared" si="12"/>
        <v>121779.92555868061</v>
      </c>
      <c r="E218">
        <v>90000</v>
      </c>
      <c r="F218" s="4">
        <f t="shared" si="11"/>
        <v>0.35311028398534011</v>
      </c>
    </row>
    <row r="219" spans="1:6" x14ac:dyDescent="0.5">
      <c r="A219" s="3">
        <v>43760</v>
      </c>
      <c r="B219">
        <v>117537.37341607724</v>
      </c>
      <c r="C219" s="6">
        <f>VLOOKUP(A219,fund_value_simple[],8,FALSE)</f>
        <v>1.0413177232776181</v>
      </c>
      <c r="D219" s="5">
        <f t="shared" si="12"/>
        <v>122393.75008566078</v>
      </c>
      <c r="E219">
        <v>90000</v>
      </c>
      <c r="F219" s="4">
        <f t="shared" si="11"/>
        <v>0.35993055650734201</v>
      </c>
    </row>
    <row r="220" spans="1:6" x14ac:dyDescent="0.5">
      <c r="A220" s="3">
        <v>43761</v>
      </c>
      <c r="B220">
        <v>117537.37341607724</v>
      </c>
      <c r="C220" s="6">
        <f>VLOOKUP(A220,fund_value_simple[],8,FALSE)</f>
        <v>1.0352871665757639</v>
      </c>
      <c r="D220" s="5">
        <f t="shared" si="12"/>
        <v>121684.93429068812</v>
      </c>
      <c r="E220">
        <v>90000</v>
      </c>
      <c r="F220" s="4">
        <f t="shared" si="11"/>
        <v>0.35205482545209021</v>
      </c>
    </row>
    <row r="221" spans="1:6" x14ac:dyDescent="0.5">
      <c r="A221" s="3">
        <v>43762</v>
      </c>
      <c r="B221">
        <v>117537.37341607724</v>
      </c>
      <c r="C221" s="6">
        <f>VLOOKUP(A221,fund_value_simple[],8,FALSE)</f>
        <v>1.0346584954713682</v>
      </c>
      <c r="D221" s="5">
        <f t="shared" si="12"/>
        <v>121611.04194033488</v>
      </c>
      <c r="E221">
        <v>90000</v>
      </c>
      <c r="F221" s="4">
        <f t="shared" si="11"/>
        <v>0.35123379933705423</v>
      </c>
    </row>
    <row r="222" spans="1:6" x14ac:dyDescent="0.5">
      <c r="A222" s="3">
        <v>43763</v>
      </c>
      <c r="B222">
        <v>117537.37341607724</v>
      </c>
      <c r="C222" s="6">
        <f>VLOOKUP(A222,fund_value_simple[],8,FALSE)</f>
        <v>1.0387686643019876</v>
      </c>
      <c r="D222" s="5">
        <f t="shared" si="12"/>
        <v>122094.1403889825</v>
      </c>
      <c r="E222">
        <v>90000</v>
      </c>
      <c r="F222" s="4">
        <f t="shared" si="11"/>
        <v>0.35660155987758335</v>
      </c>
    </row>
    <row r="223" spans="1:6" x14ac:dyDescent="0.5">
      <c r="A223" s="3">
        <v>43766</v>
      </c>
      <c r="B223">
        <v>117537.37341607724</v>
      </c>
      <c r="C223" s="6">
        <f>VLOOKUP(A223,fund_value_simple[],8,FALSE)</f>
        <v>1.0471814409915092</v>
      </c>
      <c r="D223" s="5">
        <f t="shared" si="12"/>
        <v>123082.95606420487</v>
      </c>
      <c r="E223">
        <v>90000</v>
      </c>
      <c r="F223" s="4">
        <f t="shared" si="11"/>
        <v>0.3675884007133875</v>
      </c>
    </row>
    <row r="224" spans="1:6" x14ac:dyDescent="0.5">
      <c r="A224" s="3">
        <v>43767</v>
      </c>
      <c r="B224">
        <v>117537.37341607724</v>
      </c>
      <c r="C224" s="6">
        <f>VLOOKUP(A224,fund_value_simple[],8,FALSE)</f>
        <v>1.0389957395844611</v>
      </c>
      <c r="D224" s="5">
        <f t="shared" si="12"/>
        <v>122120.83022125215</v>
      </c>
      <c r="E224">
        <v>90000</v>
      </c>
      <c r="F224" s="4">
        <f t="shared" si="11"/>
        <v>0.35689811356946838</v>
      </c>
    </row>
    <row r="225" spans="1:6" x14ac:dyDescent="0.5">
      <c r="A225" s="3">
        <v>43768</v>
      </c>
      <c r="B225">
        <v>117537.37341607724</v>
      </c>
      <c r="C225" s="6">
        <f>VLOOKUP(A225,fund_value_simple[],8,FALSE)</f>
        <v>1.0362132394664705</v>
      </c>
      <c r="D225" s="5">
        <f t="shared" si="12"/>
        <v>121793.78246585361</v>
      </c>
      <c r="E225">
        <v>90000</v>
      </c>
      <c r="F225" s="4">
        <f t="shared" si="11"/>
        <v>0.35326424962059566</v>
      </c>
    </row>
    <row r="226" spans="1:6" x14ac:dyDescent="0.5">
      <c r="A226" s="3">
        <v>43769</v>
      </c>
      <c r="B226">
        <v>117537.37341607724</v>
      </c>
      <c r="C226" s="6">
        <f>VLOOKUP(A226,fund_value_simple[],8,FALSE)</f>
        <v>1.0398744238322477</v>
      </c>
      <c r="D226" s="5">
        <f t="shared" si="12"/>
        <v>122224.10845979907</v>
      </c>
      <c r="E226">
        <v>90000</v>
      </c>
      <c r="F226" s="4">
        <f t="shared" si="11"/>
        <v>0.35804564955332302</v>
      </c>
    </row>
    <row r="227" spans="1:6" x14ac:dyDescent="0.5">
      <c r="A227" s="3">
        <v>43770</v>
      </c>
      <c r="B227">
        <v>117537.37341607724</v>
      </c>
      <c r="C227" s="6">
        <f>VLOOKUP(A227,fund_value_simple[],8,FALSE)</f>
        <v>1.0472212004595738</v>
      </c>
      <c r="D227" s="5">
        <f t="shared" si="12"/>
        <v>123087.6292876496</v>
      </c>
      <c r="E227">
        <v>90000</v>
      </c>
      <c r="F227" s="4">
        <f t="shared" si="11"/>
        <v>0.36764032541832892</v>
      </c>
    </row>
    <row r="228" spans="1:6" x14ac:dyDescent="0.5">
      <c r="A228" s="3">
        <v>43773</v>
      </c>
      <c r="B228">
        <v>117537.37341607724</v>
      </c>
      <c r="C228" s="6">
        <f>VLOOKUP(A228,fund_value_simple[],8,FALSE)</f>
        <v>1.0536800200451004</v>
      </c>
      <c r="D228" s="5">
        <f t="shared" si="12"/>
        <v>123846.78197710072</v>
      </c>
      <c r="E228">
        <v>90000</v>
      </c>
      <c r="F228" s="4">
        <f t="shared" si="11"/>
        <v>0.37607535530111913</v>
      </c>
    </row>
    <row r="229" spans="1:6" x14ac:dyDescent="0.5">
      <c r="A229" s="3">
        <v>43774</v>
      </c>
      <c r="B229">
        <v>117537.37341607724</v>
      </c>
      <c r="C229" s="6">
        <f>VLOOKUP(A229,fund_value_simple[],8,FALSE)</f>
        <v>1.0576957364928963</v>
      </c>
      <c r="D229" s="5">
        <f t="shared" si="12"/>
        <v>124318.77874075838</v>
      </c>
      <c r="E229">
        <v>90000</v>
      </c>
      <c r="F229" s="4">
        <f t="shared" si="11"/>
        <v>0.38131976378620425</v>
      </c>
    </row>
    <row r="230" spans="1:6" x14ac:dyDescent="0.5">
      <c r="A230" s="3">
        <v>43775</v>
      </c>
      <c r="B230">
        <v>117537.37341607724</v>
      </c>
      <c r="C230" s="6">
        <f>VLOOKUP(A230,fund_value_simple[],8,FALSE)</f>
        <v>1.0499616313985245</v>
      </c>
      <c r="D230" s="5">
        <f t="shared" si="12"/>
        <v>123409.73234224203</v>
      </c>
      <c r="E230">
        <v>90000</v>
      </c>
      <c r="F230" s="4">
        <f t="shared" si="11"/>
        <v>0.37121924824713365</v>
      </c>
    </row>
    <row r="231" spans="1:6" x14ac:dyDescent="0.5">
      <c r="A231" s="3">
        <v>43776</v>
      </c>
      <c r="B231">
        <v>117537.37341607724</v>
      </c>
      <c r="C231" s="6">
        <f>VLOOKUP(A231,fund_value_simple[],8,FALSE)</f>
        <v>1.0542854224355354</v>
      </c>
      <c r="D231" s="5">
        <f t="shared" si="12"/>
        <v>123917.93938393226</v>
      </c>
      <c r="E231">
        <v>90000</v>
      </c>
      <c r="F231" s="4">
        <f t="shared" si="11"/>
        <v>0.37686599315480285</v>
      </c>
    </row>
    <row r="232" spans="1:6" x14ac:dyDescent="0.5">
      <c r="A232" s="3">
        <v>43777</v>
      </c>
      <c r="B232">
        <v>117537.37341607724</v>
      </c>
      <c r="C232" s="6">
        <f>VLOOKUP(A232,fund_value_simple[],8,FALSE)</f>
        <v>1.0508321212261911</v>
      </c>
      <c r="D232" s="5">
        <f t="shared" si="12"/>
        <v>123512.04743017137</v>
      </c>
      <c r="E232">
        <v>90000</v>
      </c>
      <c r="F232" s="4">
        <f t="shared" si="11"/>
        <v>0.37235608255745967</v>
      </c>
    </row>
    <row r="233" spans="1:6" x14ac:dyDescent="0.5">
      <c r="A233" s="3">
        <v>43780</v>
      </c>
      <c r="B233">
        <v>117537.37341607724</v>
      </c>
      <c r="C233" s="6">
        <f>VLOOKUP(A233,fund_value_simple[],8,FALSE)</f>
        <v>1.0370583212781319</v>
      </c>
      <c r="D233" s="5">
        <f t="shared" si="12"/>
        <v>121893.11116231799</v>
      </c>
      <c r="E233">
        <v>90000</v>
      </c>
      <c r="F233" s="4">
        <f t="shared" si="11"/>
        <v>0.35436790180353323</v>
      </c>
    </row>
    <row r="234" spans="1:6" x14ac:dyDescent="0.5">
      <c r="A234" s="3">
        <v>43781</v>
      </c>
      <c r="B234">
        <v>117537.37341607724</v>
      </c>
      <c r="C234" s="6">
        <f>VLOOKUP(A234,fund_value_simple[],8,FALSE)</f>
        <v>1.0376064074659221</v>
      </c>
      <c r="D234" s="5">
        <f t="shared" si="12"/>
        <v>121957.53177323649</v>
      </c>
      <c r="E234">
        <v>90000</v>
      </c>
      <c r="F234" s="4">
        <f t="shared" si="11"/>
        <v>0.35508368636929438</v>
      </c>
    </row>
    <row r="235" spans="1:6" x14ac:dyDescent="0.5">
      <c r="A235" s="3">
        <v>43782</v>
      </c>
      <c r="B235">
        <v>117537.37341607724</v>
      </c>
      <c r="C235" s="6">
        <f>VLOOKUP(A235,fund_value_simple[],8,FALSE)</f>
        <v>1.0450109443950868</v>
      </c>
      <c r="D235" s="5">
        <f t="shared" si="12"/>
        <v>122827.84159525284</v>
      </c>
      <c r="E235">
        <v>90000</v>
      </c>
      <c r="F235" s="4">
        <f t="shared" si="11"/>
        <v>0.3647537955028094</v>
      </c>
    </row>
    <row r="236" spans="1:6" x14ac:dyDescent="0.5">
      <c r="A236" s="3">
        <v>43783</v>
      </c>
      <c r="B236">
        <v>117537.37341607724</v>
      </c>
      <c r="C236" s="6">
        <f>VLOOKUP(A236,fund_value_simple[],8,FALSE)</f>
        <v>1.0526272646930237</v>
      </c>
      <c r="D236" s="5">
        <f t="shared" si="12"/>
        <v>123723.04387816791</v>
      </c>
      <c r="E236">
        <v>90000</v>
      </c>
      <c r="F236" s="4">
        <f t="shared" si="11"/>
        <v>0.37470048753519902</v>
      </c>
    </row>
    <row r="237" spans="1:6" x14ac:dyDescent="0.5">
      <c r="A237" s="3">
        <v>43784</v>
      </c>
      <c r="B237">
        <v>117537.37341607724</v>
      </c>
      <c r="C237" s="6">
        <f>VLOOKUP(A237,fund_value_simple[],8,FALSE)</f>
        <v>1.0496647334688247</v>
      </c>
      <c r="D237" s="5">
        <f t="shared" si="12"/>
        <v>123374.83573941245</v>
      </c>
      <c r="E237">
        <v>90000</v>
      </c>
      <c r="F237" s="4">
        <f t="shared" si="11"/>
        <v>0.37083150821569383</v>
      </c>
    </row>
    <row r="238" spans="1:6" x14ac:dyDescent="0.5">
      <c r="A238" s="3">
        <v>43787</v>
      </c>
      <c r="B238">
        <v>117537.37341607724</v>
      </c>
      <c r="C238" s="6">
        <f>VLOOKUP(A238,fund_value_simple[],8,FALSE)</f>
        <v>1.0503946154493757</v>
      </c>
      <c r="D238" s="5">
        <f t="shared" si="12"/>
        <v>123460.62415031013</v>
      </c>
      <c r="E238">
        <v>90000</v>
      </c>
      <c r="F238" s="4">
        <f t="shared" si="11"/>
        <v>0.37178471278122371</v>
      </c>
    </row>
    <row r="239" spans="1:6" x14ac:dyDescent="0.5">
      <c r="A239" s="3">
        <v>43788</v>
      </c>
      <c r="B239">
        <v>117537.37341607724</v>
      </c>
      <c r="C239" s="6">
        <f>VLOOKUP(A239,fund_value_simple[],8,FALSE)</f>
        <v>1.0597151437496866</v>
      </c>
      <c r="D239" s="5">
        <f t="shared" si="12"/>
        <v>124556.13456557889</v>
      </c>
      <c r="E239">
        <v>90000</v>
      </c>
      <c r="F239" s="4">
        <f t="shared" si="11"/>
        <v>0.38395705072865433</v>
      </c>
    </row>
    <row r="240" spans="1:6" x14ac:dyDescent="0.5">
      <c r="A240" s="3">
        <v>43789</v>
      </c>
      <c r="B240">
        <v>117537.37341607724</v>
      </c>
      <c r="C240" s="6">
        <f>VLOOKUP(A240,fund_value_simple[],8,FALSE)</f>
        <v>1.0561012590760732</v>
      </c>
      <c r="D240" s="5">
        <f t="shared" si="12"/>
        <v>124131.36805321375</v>
      </c>
      <c r="E240">
        <v>90000</v>
      </c>
      <c r="F240" s="4">
        <f t="shared" si="11"/>
        <v>0.3792374228134861</v>
      </c>
    </row>
    <row r="241" spans="1:6" x14ac:dyDescent="0.5">
      <c r="A241" s="3">
        <v>43790</v>
      </c>
      <c r="B241">
        <v>117537.37341607724</v>
      </c>
      <c r="C241" s="6">
        <f>VLOOKUP(A241,fund_value_simple[],8,FALSE)</f>
        <v>1.0541764375698413</v>
      </c>
      <c r="D241" s="5">
        <f t="shared" si="12"/>
        <v>123905.12958907647</v>
      </c>
      <c r="E241">
        <v>90000</v>
      </c>
      <c r="F241" s="4">
        <f t="shared" si="11"/>
        <v>0.37672366210084973</v>
      </c>
    </row>
    <row r="242" spans="1:6" x14ac:dyDescent="0.5">
      <c r="A242" s="3">
        <v>43791</v>
      </c>
      <c r="B242">
        <v>117537.37341607724</v>
      </c>
      <c r="C242" s="6">
        <f>VLOOKUP(A242,fund_value_simple[],8,FALSE)</f>
        <v>1.0370338997257493</v>
      </c>
      <c r="D242" s="5">
        <f t="shared" si="12"/>
        <v>121890.2407171962</v>
      </c>
      <c r="E242">
        <v>90000</v>
      </c>
      <c r="F242" s="4">
        <f t="shared" si="11"/>
        <v>0.35433600796884662</v>
      </c>
    </row>
    <row r="243" spans="1:6" x14ac:dyDescent="0.5">
      <c r="A243" s="3">
        <v>43794</v>
      </c>
      <c r="B243">
        <v>117537.37341607724</v>
      </c>
      <c r="C243" s="6">
        <f>VLOOKUP(A243,fund_value_simple[],8,FALSE)</f>
        <v>1.0282494794288519</v>
      </c>
      <c r="D243" s="5">
        <f t="shared" si="12"/>
        <v>120857.74302851601</v>
      </c>
      <c r="E243">
        <v>90000</v>
      </c>
      <c r="F243" s="4">
        <f t="shared" ref="F243:F306" si="13">(D243-E243)/E243</f>
        <v>0.34286381142795563</v>
      </c>
    </row>
    <row r="244" spans="1:6" x14ac:dyDescent="0.5">
      <c r="A244" s="3">
        <v>43795</v>
      </c>
      <c r="B244">
        <v>117537.37341607724</v>
      </c>
      <c r="C244" s="6">
        <f>VLOOKUP(A244,fund_value_simple[],8,FALSE)</f>
        <v>1.0274291695923035</v>
      </c>
      <c r="D244" s="5">
        <f t="shared" si="12"/>
        <v>120761.32596494073</v>
      </c>
      <c r="E244">
        <v>90000</v>
      </c>
      <c r="F244" s="4">
        <f t="shared" si="13"/>
        <v>0.34179251072156364</v>
      </c>
    </row>
    <row r="245" spans="1:6" x14ac:dyDescent="0.5">
      <c r="A245" s="3">
        <v>43796</v>
      </c>
      <c r="B245">
        <v>117537.37341607724</v>
      </c>
      <c r="C245" s="6">
        <f>VLOOKUP(A245,fund_value_simple[],8,FALSE)</f>
        <v>1.0328871366150081</v>
      </c>
      <c r="D245" s="5">
        <f t="shared" si="12"/>
        <v>121402.841072981</v>
      </c>
      <c r="E245">
        <v>90000</v>
      </c>
      <c r="F245" s="4">
        <f t="shared" si="13"/>
        <v>0.34892045636645552</v>
      </c>
    </row>
    <row r="246" spans="1:6" x14ac:dyDescent="0.5">
      <c r="A246" s="3">
        <v>43797</v>
      </c>
      <c r="B246">
        <v>117537.37341607724</v>
      </c>
      <c r="C246" s="6">
        <f>VLOOKUP(A246,fund_value_simple[],8,FALSE)</f>
        <v>1.0334878359441342</v>
      </c>
      <c r="D246" s="5">
        <f t="shared" si="12"/>
        <v>121473.44569433927</v>
      </c>
      <c r="E246">
        <v>90000</v>
      </c>
      <c r="F246" s="4">
        <f t="shared" si="13"/>
        <v>0.34970495215932523</v>
      </c>
    </row>
    <row r="247" spans="1:6" x14ac:dyDescent="0.5">
      <c r="A247" s="3">
        <v>43798</v>
      </c>
      <c r="B247">
        <v>117537.37341607724</v>
      </c>
      <c r="C247" s="6">
        <f>VLOOKUP(A247,fund_value_simple[],8,FALSE)</f>
        <v>1.0274065626283042</v>
      </c>
      <c r="D247" s="5">
        <f t="shared" si="12"/>
        <v>120758.66880177135</v>
      </c>
      <c r="E247">
        <v>90000</v>
      </c>
      <c r="F247" s="4">
        <f t="shared" si="13"/>
        <v>0.3417629866863483</v>
      </c>
    </row>
    <row r="248" spans="1:6" x14ac:dyDescent="0.5">
      <c r="A248" s="3">
        <v>43801</v>
      </c>
      <c r="B248">
        <v>117537.37341607724</v>
      </c>
      <c r="C248" s="6">
        <f>VLOOKUP(A248,fund_value_simple[],8,FALSE)</f>
        <v>1.0262697552957645</v>
      </c>
      <c r="D248" s="5">
        <f t="shared" si="12"/>
        <v>120625.05145382449</v>
      </c>
      <c r="E248">
        <v>90000</v>
      </c>
      <c r="F248" s="4">
        <f t="shared" si="13"/>
        <v>0.34027834948693875</v>
      </c>
    </row>
    <row r="249" spans="1:6" x14ac:dyDescent="0.5">
      <c r="A249" s="3">
        <v>43802</v>
      </c>
      <c r="B249">
        <v>117537.37341607724</v>
      </c>
      <c r="C249" s="6">
        <f>VLOOKUP(A249,fund_value_simple[],8,FALSE)</f>
        <v>1.0340279873645373</v>
      </c>
      <c r="D249" s="5">
        <f t="shared" si="12"/>
        <v>121536.93367354042</v>
      </c>
      <c r="E249">
        <v>90000</v>
      </c>
      <c r="F249" s="4">
        <f t="shared" si="13"/>
        <v>0.35041037415044912</v>
      </c>
    </row>
    <row r="250" spans="1:6" x14ac:dyDescent="0.5">
      <c r="A250" s="3">
        <v>43803</v>
      </c>
      <c r="B250">
        <v>117537.37341607724</v>
      </c>
      <c r="C250" s="6">
        <f>VLOOKUP(A250,fund_value_simple[],8,FALSE)</f>
        <v>1.0365807786576111</v>
      </c>
      <c r="D250" s="5">
        <f t="shared" ref="D250:D276" si="14">B250*C250</f>
        <v>121836.98205700774</v>
      </c>
      <c r="E250">
        <v>90000</v>
      </c>
      <c r="F250" s="4">
        <f t="shared" si="13"/>
        <v>0.35374424507786378</v>
      </c>
    </row>
    <row r="251" spans="1:6" x14ac:dyDescent="0.5">
      <c r="A251" s="3">
        <v>43804</v>
      </c>
      <c r="B251">
        <v>117537.37341607724</v>
      </c>
      <c r="C251" s="6">
        <f>VLOOKUP(A251,fund_value_simple[],8,FALSE)</f>
        <v>1.047687257113872</v>
      </c>
      <c r="D251" s="5">
        <f t="shared" si="14"/>
        <v>123142.4083626589</v>
      </c>
      <c r="E251">
        <v>90000</v>
      </c>
      <c r="F251" s="4">
        <f t="shared" si="13"/>
        <v>0.36824898180732107</v>
      </c>
    </row>
    <row r="252" spans="1:6" x14ac:dyDescent="0.5">
      <c r="A252" s="3">
        <v>43805</v>
      </c>
      <c r="B252">
        <v>117537.37341607724</v>
      </c>
      <c r="C252" s="6">
        <f>VLOOKUP(A252,fund_value_simple[],8,FALSE)</f>
        <v>1.0600306594575268</v>
      </c>
      <c r="D252" s="5">
        <f t="shared" si="14"/>
        <v>124593.21945314994</v>
      </c>
      <c r="E252">
        <v>90000</v>
      </c>
      <c r="F252" s="4">
        <f t="shared" si="13"/>
        <v>0.38436910503499933</v>
      </c>
    </row>
    <row r="253" spans="1:6" x14ac:dyDescent="0.5">
      <c r="A253" s="3">
        <v>43808</v>
      </c>
      <c r="B253">
        <v>117537.37341607724</v>
      </c>
      <c r="C253" s="6">
        <f>VLOOKUP(A253,fund_value_simple[],8,FALSE)</f>
        <v>1.0634055562260039</v>
      </c>
      <c r="D253" s="5">
        <f t="shared" si="14"/>
        <v>124989.89595486714</v>
      </c>
      <c r="E253">
        <v>90000</v>
      </c>
      <c r="F253" s="4">
        <f t="shared" si="13"/>
        <v>0.38877662172074601</v>
      </c>
    </row>
    <row r="254" spans="1:6" x14ac:dyDescent="0.5">
      <c r="A254" s="3">
        <v>43809</v>
      </c>
      <c r="B254">
        <v>117537.37341607724</v>
      </c>
      <c r="C254" s="6">
        <f>VLOOKUP(A254,fund_value_simple[],8,FALSE)</f>
        <v>1.0797376408698511</v>
      </c>
      <c r="D254" s="5">
        <f t="shared" si="14"/>
        <v>126909.52628631399</v>
      </c>
      <c r="E254">
        <v>90000</v>
      </c>
      <c r="F254" s="4">
        <f t="shared" si="13"/>
        <v>0.41010584762571106</v>
      </c>
    </row>
    <row r="255" spans="1:6" x14ac:dyDescent="0.5">
      <c r="A255" s="3">
        <v>43810</v>
      </c>
      <c r="B255">
        <v>117537.37341607724</v>
      </c>
      <c r="C255" s="6">
        <f>VLOOKUP(A255,fund_value_simple[],8,FALSE)</f>
        <v>1.0746478444037078</v>
      </c>
      <c r="D255" s="5">
        <f t="shared" si="14"/>
        <v>126311.28497846107</v>
      </c>
      <c r="E255">
        <v>90000</v>
      </c>
      <c r="F255" s="4">
        <f t="shared" si="13"/>
        <v>0.40345872198290084</v>
      </c>
    </row>
    <row r="256" spans="1:6" x14ac:dyDescent="0.5">
      <c r="A256" s="3">
        <v>43811</v>
      </c>
      <c r="B256">
        <v>117537.37341607724</v>
      </c>
      <c r="C256" s="6">
        <f>VLOOKUP(A256,fund_value_simple[],8,FALSE)</f>
        <v>1.0940413899488799</v>
      </c>
      <c r="D256" s="5">
        <f t="shared" si="14"/>
        <v>128590.75138306567</v>
      </c>
      <c r="E256">
        <v>90000</v>
      </c>
      <c r="F256" s="4">
        <f t="shared" si="13"/>
        <v>0.42878612647850745</v>
      </c>
    </row>
    <row r="257" spans="1:6" x14ac:dyDescent="0.5">
      <c r="A257" s="3">
        <v>43812</v>
      </c>
      <c r="B257">
        <v>117537.37341607724</v>
      </c>
      <c r="C257" s="6">
        <f>VLOOKUP(A257,fund_value_simple[],8,FALSE)</f>
        <v>1.1031778329709101</v>
      </c>
      <c r="D257" s="5">
        <f t="shared" si="14"/>
        <v>129664.62489824076</v>
      </c>
      <c r="E257">
        <v>90000</v>
      </c>
      <c r="F257" s="4">
        <f t="shared" si="13"/>
        <v>0.44071805442489731</v>
      </c>
    </row>
    <row r="258" spans="1:6" x14ac:dyDescent="0.5">
      <c r="A258" s="3">
        <v>43815</v>
      </c>
      <c r="B258">
        <v>117537.37341607724</v>
      </c>
      <c r="C258" s="6">
        <f>VLOOKUP(A258,fund_value_simple[],8,FALSE)</f>
        <v>1.1156245814357049</v>
      </c>
      <c r="D258" s="5">
        <f t="shared" si="14"/>
        <v>131127.58302036332</v>
      </c>
      <c r="E258">
        <v>90000</v>
      </c>
      <c r="F258" s="4">
        <f t="shared" si="13"/>
        <v>0.4569731446707036</v>
      </c>
    </row>
    <row r="259" spans="1:6" x14ac:dyDescent="0.5">
      <c r="A259" s="3">
        <v>43816</v>
      </c>
      <c r="B259">
        <v>117537.37341607724</v>
      </c>
      <c r="C259" s="6">
        <f>VLOOKUP(A259,fund_value_simple[],8,FALSE)</f>
        <v>1.1187037920333356</v>
      </c>
      <c r="D259" s="5">
        <f t="shared" si="14"/>
        <v>131489.50534620378</v>
      </c>
      <c r="E259">
        <v>90000</v>
      </c>
      <c r="F259" s="4">
        <f t="shared" si="13"/>
        <v>0.46099450384670865</v>
      </c>
    </row>
    <row r="260" spans="1:6" x14ac:dyDescent="0.5">
      <c r="A260" s="3">
        <v>43817</v>
      </c>
      <c r="B260">
        <v>117537.37341607724</v>
      </c>
      <c r="C260" s="6">
        <f>VLOOKUP(A260,fund_value_simple[],8,FALSE)</f>
        <v>1.1116711334381471</v>
      </c>
      <c r="D260" s="5">
        <f t="shared" si="14"/>
        <v>130662.90512679332</v>
      </c>
      <c r="E260">
        <v>90000</v>
      </c>
      <c r="F260" s="4">
        <f t="shared" si="13"/>
        <v>0.45181005696437027</v>
      </c>
    </row>
    <row r="261" spans="1:6" x14ac:dyDescent="0.5">
      <c r="A261" s="3">
        <v>43818</v>
      </c>
      <c r="B261">
        <v>117537.37341607724</v>
      </c>
      <c r="C261" s="6">
        <f>VLOOKUP(A261,fund_value_simple[],8,FALSE)</f>
        <v>1.1046902481750751</v>
      </c>
      <c r="D261" s="5">
        <f t="shared" si="14"/>
        <v>129842.39020885284</v>
      </c>
      <c r="E261">
        <v>90000</v>
      </c>
      <c r="F261" s="4">
        <f t="shared" si="13"/>
        <v>0.44269322454280935</v>
      </c>
    </row>
    <row r="262" spans="1:6" x14ac:dyDescent="0.5">
      <c r="A262" s="3">
        <v>43819</v>
      </c>
      <c r="B262">
        <v>117537.37341607724</v>
      </c>
      <c r="C262" s="6">
        <f>VLOOKUP(A262,fund_value_simple[],8,FALSE)</f>
        <v>1.1013751160855088</v>
      </c>
      <c r="D262" s="5">
        <f t="shared" si="14"/>
        <v>129452.73829051787</v>
      </c>
      <c r="E262">
        <v>90000</v>
      </c>
      <c r="F262" s="4">
        <f t="shared" si="13"/>
        <v>0.43836375878353184</v>
      </c>
    </row>
    <row r="263" spans="1:6" x14ac:dyDescent="0.5">
      <c r="A263" s="3">
        <v>43822</v>
      </c>
      <c r="B263">
        <v>117537.37341607724</v>
      </c>
      <c r="C263" s="6">
        <f>VLOOKUP(A263,fund_value_simple[],8,FALSE)</f>
        <v>1.0885010589891002</v>
      </c>
      <c r="D263" s="5">
        <f t="shared" si="14"/>
        <v>127939.55543419739</v>
      </c>
      <c r="E263">
        <v>90000</v>
      </c>
      <c r="F263" s="4">
        <f t="shared" si="13"/>
        <v>0.42155061593552656</v>
      </c>
    </row>
    <row r="264" spans="1:6" x14ac:dyDescent="0.5">
      <c r="A264" s="3">
        <v>43823</v>
      </c>
      <c r="B264">
        <v>117537.37341607724</v>
      </c>
      <c r="C264" s="6">
        <f>VLOOKUP(A264,fund_value_simple[],8,FALSE)</f>
        <v>1.0918000984667673</v>
      </c>
      <c r="D264" s="5">
        <f t="shared" si="14"/>
        <v>128327.31586919833</v>
      </c>
      <c r="E264">
        <v>90000</v>
      </c>
      <c r="F264" s="4">
        <f t="shared" si="13"/>
        <v>0.42585906521331474</v>
      </c>
    </row>
    <row r="265" spans="1:6" x14ac:dyDescent="0.5">
      <c r="A265" s="3">
        <v>43824</v>
      </c>
      <c r="B265">
        <v>117537.37341607724</v>
      </c>
      <c r="C265" s="6">
        <f>VLOOKUP(A265,fund_value_simple[],8,FALSE)</f>
        <v>1.0931694511281904</v>
      </c>
      <c r="D265" s="5">
        <f t="shared" si="14"/>
        <v>128488.26598430231</v>
      </c>
      <c r="E265">
        <v>90000</v>
      </c>
      <c r="F265" s="4">
        <f t="shared" si="13"/>
        <v>0.42764739982558125</v>
      </c>
    </row>
    <row r="266" spans="1:6" x14ac:dyDescent="0.5">
      <c r="A266" s="3">
        <v>43825</v>
      </c>
      <c r="B266">
        <v>117537.37341607724</v>
      </c>
      <c r="C266" s="6">
        <f>VLOOKUP(A266,fund_value_simple[],8,FALSE)</f>
        <v>1.0958593706551243</v>
      </c>
      <c r="D266" s="5">
        <f t="shared" si="14"/>
        <v>128804.43206019874</v>
      </c>
      <c r="E266">
        <v>90000</v>
      </c>
      <c r="F266" s="4">
        <f t="shared" si="13"/>
        <v>0.43116035622443044</v>
      </c>
    </row>
    <row r="267" spans="1:6" x14ac:dyDescent="0.5">
      <c r="A267" s="3">
        <v>43826</v>
      </c>
      <c r="B267">
        <v>117537.37341607724</v>
      </c>
      <c r="C267" s="6">
        <f>VLOOKUP(A267,fund_value_simple[],8,FALSE)</f>
        <v>1.0869754491195915</v>
      </c>
      <c r="D267" s="5">
        <f t="shared" si="14"/>
        <v>127760.2392572777</v>
      </c>
      <c r="E267">
        <v>90000</v>
      </c>
      <c r="F267" s="4">
        <f t="shared" si="13"/>
        <v>0.41955821396975224</v>
      </c>
    </row>
    <row r="268" spans="1:6" x14ac:dyDescent="0.5">
      <c r="A268" s="3">
        <v>43829</v>
      </c>
      <c r="B268">
        <v>117537.37341607724</v>
      </c>
      <c r="C268" s="6">
        <f>VLOOKUP(A268,fund_value_simple[],8,FALSE)</f>
        <v>1.1016330517977904</v>
      </c>
      <c r="D268" s="5">
        <f t="shared" si="14"/>
        <v>129483.05537664965</v>
      </c>
      <c r="E268">
        <v>90000</v>
      </c>
      <c r="F268" s="4">
        <f t="shared" si="13"/>
        <v>0.43870061529610715</v>
      </c>
    </row>
    <row r="269" spans="1:6" x14ac:dyDescent="0.5">
      <c r="A269" s="3">
        <v>43830</v>
      </c>
      <c r="B269">
        <v>117537.37341607724</v>
      </c>
      <c r="C269" s="6">
        <f>VLOOKUP(A269,fund_value_simple[],8,FALSE)</f>
        <v>1.1017874933183012</v>
      </c>
      <c r="D269" s="5">
        <f t="shared" si="14"/>
        <v>129501.20802731687</v>
      </c>
      <c r="E269">
        <v>90000</v>
      </c>
      <c r="F269" s="4">
        <f t="shared" si="13"/>
        <v>0.43890231141463187</v>
      </c>
    </row>
    <row r="270" spans="1:6" x14ac:dyDescent="0.5">
      <c r="A270" s="3">
        <v>43832</v>
      </c>
      <c r="B270">
        <v>117537.37341607724</v>
      </c>
      <c r="C270" s="6">
        <f>VLOOKUP(A270,fund_value_simple[],8,FALSE)</f>
        <v>1.1160556202040131</v>
      </c>
      <c r="D270" s="5">
        <f t="shared" si="14"/>
        <v>131178.24618503076</v>
      </c>
      <c r="E270">
        <v>90000</v>
      </c>
      <c r="F270" s="4">
        <f t="shared" si="13"/>
        <v>0.45753606872256397</v>
      </c>
    </row>
    <row r="271" spans="1:6" x14ac:dyDescent="0.5">
      <c r="A271" s="3">
        <v>43833</v>
      </c>
      <c r="B271">
        <v>117537.37341607724</v>
      </c>
      <c r="C271" s="6">
        <f>VLOOKUP(A271,fund_value_simple[],8,FALSE)</f>
        <v>1.1144261486821523</v>
      </c>
      <c r="D271" s="5">
        <f t="shared" si="14"/>
        <v>130986.72238229495</v>
      </c>
      <c r="E271">
        <v>90000</v>
      </c>
      <c r="F271" s="4">
        <f t="shared" si="13"/>
        <v>0.45540802646994383</v>
      </c>
    </row>
    <row r="272" spans="1:6" x14ac:dyDescent="0.5">
      <c r="A272" s="3">
        <v>43836</v>
      </c>
      <c r="B272">
        <v>117537.37341607724</v>
      </c>
      <c r="C272" s="6">
        <f>VLOOKUP(A272,fund_value_simple[],8,FALSE)</f>
        <v>1.1211083220721327</v>
      </c>
      <c r="D272" s="5">
        <f t="shared" si="14"/>
        <v>131772.12749126405</v>
      </c>
      <c r="E272">
        <v>90000</v>
      </c>
      <c r="F272" s="4">
        <f t="shared" si="13"/>
        <v>0.46413474990293391</v>
      </c>
    </row>
    <row r="273" spans="1:6" x14ac:dyDescent="0.5">
      <c r="A273" s="3">
        <v>43837</v>
      </c>
      <c r="B273">
        <v>117537.37341607724</v>
      </c>
      <c r="C273" s="6">
        <f>VLOOKUP(A273,fund_value_simple[],8,FALSE)</f>
        <v>1.1302135629538528</v>
      </c>
      <c r="D273" s="5">
        <f t="shared" si="14"/>
        <v>132842.33358882213</v>
      </c>
      <c r="E273">
        <v>90000</v>
      </c>
      <c r="F273" s="4">
        <f t="shared" si="13"/>
        <v>0.47602592876469035</v>
      </c>
    </row>
    <row r="274" spans="1:6" x14ac:dyDescent="0.5">
      <c r="A274" s="3">
        <v>43838</v>
      </c>
      <c r="B274">
        <v>117537.37341607724</v>
      </c>
      <c r="C274" s="6">
        <f>VLOOKUP(A274,fund_value_simple[],8,FALSE)</f>
        <v>1.1106549331660254</v>
      </c>
      <c r="D274" s="5">
        <f t="shared" si="14"/>
        <v>130543.46361594344</v>
      </c>
      <c r="E274">
        <v>90000</v>
      </c>
      <c r="F274" s="4">
        <f t="shared" si="13"/>
        <v>0.45048292906603826</v>
      </c>
    </row>
    <row r="275" spans="1:6" x14ac:dyDescent="0.5">
      <c r="A275" s="3">
        <v>43839</v>
      </c>
      <c r="B275">
        <v>117537.37341607724</v>
      </c>
      <c r="C275" s="6">
        <f>VLOOKUP(A275,fund_value_simple[],8,FALSE)</f>
        <v>1.1313068662579016</v>
      </c>
      <c r="D275" s="5">
        <f t="shared" si="14"/>
        <v>132970.83758752714</v>
      </c>
      <c r="E275">
        <v>90000</v>
      </c>
      <c r="F275" s="4">
        <f t="shared" si="13"/>
        <v>0.47745375097252385</v>
      </c>
    </row>
    <row r="276" spans="1:6" x14ac:dyDescent="0.5">
      <c r="A276" s="3">
        <v>43840</v>
      </c>
      <c r="B276">
        <v>117537.37341607724</v>
      </c>
      <c r="C276" s="6">
        <f>VLOOKUP(A276,fund_value_simple[],8,FALSE)</f>
        <v>1.1346733455597804</v>
      </c>
      <c r="D276" s="5">
        <f t="shared" si="14"/>
        <v>133366.52472232957</v>
      </c>
      <c r="E276">
        <v>90000</v>
      </c>
      <c r="F276" s="4">
        <f t="shared" si="13"/>
        <v>0.48185027469255082</v>
      </c>
    </row>
    <row r="277" spans="1:6" x14ac:dyDescent="0.5">
      <c r="A277" s="3">
        <v>43843</v>
      </c>
      <c r="B277">
        <v>117537.37341607724</v>
      </c>
      <c r="C277" s="6">
        <f>VLOOKUP(A277,fund_value_simple[],8,FALSE)</f>
        <v>1.1516244005148013</v>
      </c>
      <c r="D277" s="5">
        <f t="shared" ref="D277:D340" si="15">B277*C277</f>
        <v>135358.90719837431</v>
      </c>
      <c r="E277">
        <v>90000</v>
      </c>
      <c r="F277" s="4">
        <f t="shared" si="13"/>
        <v>0.50398785775971455</v>
      </c>
    </row>
    <row r="278" spans="1:6" x14ac:dyDescent="0.5">
      <c r="A278" s="3">
        <v>43844</v>
      </c>
      <c r="B278">
        <v>117537.37341607724</v>
      </c>
      <c r="C278" s="6">
        <f>VLOOKUP(A278,fund_value_simple[],8,FALSE)</f>
        <v>1.1448915643801389</v>
      </c>
      <c r="D278" s="5">
        <f t="shared" si="15"/>
        <v>134567.54732346523</v>
      </c>
      <c r="E278">
        <v>90000</v>
      </c>
      <c r="F278" s="4">
        <f t="shared" si="13"/>
        <v>0.49519497026072479</v>
      </c>
    </row>
    <row r="279" spans="1:6" x14ac:dyDescent="0.5">
      <c r="A279" s="3">
        <v>43845</v>
      </c>
      <c r="B279">
        <v>117537.37341607724</v>
      </c>
      <c r="C279" s="6">
        <f>VLOOKUP(A279,fund_value_simple[],8,FALSE)</f>
        <v>1.1478037004641124</v>
      </c>
      <c r="D279" s="5">
        <f t="shared" si="15"/>
        <v>134909.83214980565</v>
      </c>
      <c r="E279">
        <v>90000</v>
      </c>
      <c r="F279" s="4">
        <f t="shared" si="13"/>
        <v>0.49899813499784051</v>
      </c>
    </row>
    <row r="280" spans="1:6" x14ac:dyDescent="0.5">
      <c r="A280" s="3">
        <v>43846</v>
      </c>
      <c r="B280">
        <v>117537.37341607724</v>
      </c>
      <c r="C280" s="6">
        <f>VLOOKUP(A280,fund_value_simple[],8,FALSE)</f>
        <v>1.1466194624601693</v>
      </c>
      <c r="D280" s="5">
        <f t="shared" si="15"/>
        <v>134770.6399253227</v>
      </c>
      <c r="E280">
        <v>90000</v>
      </c>
      <c r="F280" s="4">
        <f t="shared" si="13"/>
        <v>0.49745155472580777</v>
      </c>
    </row>
    <row r="281" spans="1:6" x14ac:dyDescent="0.5">
      <c r="A281" s="3">
        <v>43847</v>
      </c>
      <c r="B281">
        <v>117537.37341607724</v>
      </c>
      <c r="C281" s="6">
        <f>VLOOKUP(A281,fund_value_simple[],8,FALSE)</f>
        <v>1.1453251797561812</v>
      </c>
      <c r="D281" s="5">
        <f t="shared" si="15"/>
        <v>134618.51333583807</v>
      </c>
      <c r="E281">
        <v>90000</v>
      </c>
      <c r="F281" s="4">
        <f t="shared" si="13"/>
        <v>0.49576125928708964</v>
      </c>
    </row>
    <row r="282" spans="1:6" x14ac:dyDescent="0.5">
      <c r="A282" s="3">
        <v>43850</v>
      </c>
      <c r="B282">
        <v>117537.37341607724</v>
      </c>
      <c r="C282" s="6">
        <f>VLOOKUP(A282,fund_value_simple[],8,FALSE)</f>
        <v>1.1745293501528082</v>
      </c>
      <c r="D282" s="5">
        <f t="shared" si="15"/>
        <v>138051.09481705318</v>
      </c>
      <c r="E282">
        <v>90000</v>
      </c>
      <c r="F282" s="4">
        <f t="shared" si="13"/>
        <v>0.53390105352281303</v>
      </c>
    </row>
    <row r="283" spans="1:6" x14ac:dyDescent="0.5">
      <c r="A283" s="3">
        <v>43851</v>
      </c>
      <c r="B283">
        <v>117537.37341607724</v>
      </c>
      <c r="C283" s="6">
        <f>VLOOKUP(A283,fund_value_simple[],8,FALSE)</f>
        <v>1.1648075388440997</v>
      </c>
      <c r="D283" s="5">
        <f t="shared" si="15"/>
        <v>136908.41865098084</v>
      </c>
      <c r="E283">
        <v>90000</v>
      </c>
      <c r="F283" s="4">
        <f t="shared" si="13"/>
        <v>0.5212046516775648</v>
      </c>
    </row>
    <row r="284" spans="1:6" x14ac:dyDescent="0.5">
      <c r="A284" s="3">
        <v>43852</v>
      </c>
      <c r="B284">
        <v>117537.37341607724</v>
      </c>
      <c r="C284" s="6">
        <f>VLOOKUP(A284,fund_value_simple[],8,FALSE)</f>
        <v>1.1802066210734334</v>
      </c>
      <c r="D284" s="5">
        <f t="shared" si="15"/>
        <v>138718.38632923493</v>
      </c>
      <c r="E284">
        <v>90000</v>
      </c>
      <c r="F284" s="4">
        <f t="shared" si="13"/>
        <v>0.54131540365816588</v>
      </c>
    </row>
    <row r="285" spans="1:6" x14ac:dyDescent="0.5">
      <c r="A285" s="3">
        <v>43853</v>
      </c>
      <c r="B285">
        <v>117537.37341607724</v>
      </c>
      <c r="C285" s="6">
        <f>VLOOKUP(A285,fund_value_simple[],8,FALSE)</f>
        <v>1.1497616887780098</v>
      </c>
      <c r="D285" s="5">
        <f t="shared" si="15"/>
        <v>135139.96895340053</v>
      </c>
      <c r="E285">
        <v>90000</v>
      </c>
      <c r="F285" s="4">
        <f t="shared" si="13"/>
        <v>0.50155521059333918</v>
      </c>
    </row>
    <row r="286" spans="1:6" x14ac:dyDescent="0.5">
      <c r="A286" s="3">
        <v>43864</v>
      </c>
      <c r="B286">
        <v>117537.37341607724</v>
      </c>
      <c r="C286" s="6">
        <f>VLOOKUP(A286,fund_value_simple[],8,FALSE)</f>
        <v>1.0652384377200437</v>
      </c>
      <c r="D286" s="5">
        <f t="shared" si="15"/>
        <v>125205.32803145952</v>
      </c>
      <c r="E286">
        <v>90000</v>
      </c>
      <c r="F286" s="4">
        <f t="shared" si="13"/>
        <v>0.39117031146066128</v>
      </c>
    </row>
    <row r="287" spans="1:6" x14ac:dyDescent="0.5">
      <c r="A287" s="3">
        <v>43865</v>
      </c>
      <c r="B287">
        <v>117537.37341607724</v>
      </c>
      <c r="C287" s="6">
        <f>VLOOKUP(A287,fund_value_simple[],8,FALSE)</f>
        <v>1.1100692748059078</v>
      </c>
      <c r="D287" s="5">
        <f t="shared" si="15"/>
        <v>130474.62687057604</v>
      </c>
      <c r="E287">
        <v>90000</v>
      </c>
      <c r="F287" s="4">
        <f t="shared" si="13"/>
        <v>0.44971807633973382</v>
      </c>
    </row>
    <row r="288" spans="1:6" x14ac:dyDescent="0.5">
      <c r="A288" s="3">
        <v>43866</v>
      </c>
      <c r="B288">
        <v>117537.37341607724</v>
      </c>
      <c r="C288" s="6">
        <f>VLOOKUP(A288,fund_value_simple[],8,FALSE)</f>
        <v>1.124152729650097</v>
      </c>
      <c r="D288" s="5">
        <f t="shared" si="15"/>
        <v>132129.95916158598</v>
      </c>
      <c r="E288">
        <v>90000</v>
      </c>
      <c r="F288" s="4">
        <f t="shared" si="13"/>
        <v>0.46811065735095536</v>
      </c>
    </row>
    <row r="289" spans="1:6" x14ac:dyDescent="0.5">
      <c r="A289" s="3">
        <v>43867</v>
      </c>
      <c r="B289">
        <v>117537.37341607724</v>
      </c>
      <c r="C289" s="6">
        <f>VLOOKUP(A289,fund_value_simple[],8,FALSE)</f>
        <v>1.1386987943977349</v>
      </c>
      <c r="D289" s="5">
        <f t="shared" si="15"/>
        <v>133839.66540556354</v>
      </c>
      <c r="E289">
        <v>90000</v>
      </c>
      <c r="F289" s="4">
        <f t="shared" si="13"/>
        <v>0.48710739339515047</v>
      </c>
    </row>
    <row r="290" spans="1:6" x14ac:dyDescent="0.5">
      <c r="A290" s="3">
        <v>43868</v>
      </c>
      <c r="B290">
        <v>117537.37341607724</v>
      </c>
      <c r="C290" s="6">
        <f>VLOOKUP(A290,fund_value_simple[],8,FALSE)</f>
        <v>1.139120195454056</v>
      </c>
      <c r="D290" s="5">
        <f t="shared" si="15"/>
        <v>133889.19577887826</v>
      </c>
      <c r="E290">
        <v>90000</v>
      </c>
      <c r="F290" s="4">
        <f t="shared" si="13"/>
        <v>0.48765773087642511</v>
      </c>
    </row>
    <row r="291" spans="1:6" x14ac:dyDescent="0.5">
      <c r="A291" s="3">
        <v>43871</v>
      </c>
      <c r="B291">
        <v>117537.37341607724</v>
      </c>
      <c r="C291" s="6">
        <f>VLOOKUP(A291,fund_value_simple[],8,FALSE)</f>
        <v>1.1451657834771793</v>
      </c>
      <c r="D291" s="5">
        <f t="shared" si="15"/>
        <v>134599.7783158719</v>
      </c>
      <c r="E291">
        <v>90000</v>
      </c>
      <c r="F291" s="4">
        <f t="shared" si="13"/>
        <v>0.49555309239857664</v>
      </c>
    </row>
    <row r="292" spans="1:6" x14ac:dyDescent="0.5">
      <c r="A292" s="3">
        <v>43872</v>
      </c>
      <c r="B292">
        <v>117537.37341607724</v>
      </c>
      <c r="C292" s="6">
        <f>VLOOKUP(A292,fund_value_simple[],8,FALSE)</f>
        <v>1.1430285408199923</v>
      </c>
      <c r="D292" s="5">
        <f t="shared" si="15"/>
        <v>134348.57242759332</v>
      </c>
      <c r="E292">
        <v>90000</v>
      </c>
      <c r="F292" s="4">
        <f t="shared" si="13"/>
        <v>0.49276191586214796</v>
      </c>
    </row>
    <row r="293" spans="1:6" x14ac:dyDescent="0.5">
      <c r="A293" s="3">
        <v>43873</v>
      </c>
      <c r="B293">
        <v>117537.37341607724</v>
      </c>
      <c r="C293" s="6">
        <f>VLOOKUP(A293,fund_value_simple[],8,FALSE)</f>
        <v>1.165869933328586</v>
      </c>
      <c r="D293" s="5">
        <f t="shared" si="15"/>
        <v>137033.28970821909</v>
      </c>
      <c r="E293">
        <v>90000</v>
      </c>
      <c r="F293" s="4">
        <f t="shared" si="13"/>
        <v>0.52259210786910104</v>
      </c>
    </row>
    <row r="294" spans="1:6" x14ac:dyDescent="0.5">
      <c r="A294" s="3">
        <v>43874</v>
      </c>
      <c r="B294">
        <v>117537.37341607724</v>
      </c>
      <c r="C294" s="6">
        <f>VLOOKUP(A294,fund_value_simple[],8,FALSE)</f>
        <v>1.1598305858784781</v>
      </c>
      <c r="D294" s="5">
        <f t="shared" si="15"/>
        <v>136323.44067178632</v>
      </c>
      <c r="E294">
        <v>90000</v>
      </c>
      <c r="F294" s="4">
        <f t="shared" si="13"/>
        <v>0.51470489635318128</v>
      </c>
    </row>
    <row r="295" spans="1:6" x14ac:dyDescent="0.5">
      <c r="A295" s="3">
        <v>43875</v>
      </c>
      <c r="B295">
        <v>117537.37341607724</v>
      </c>
      <c r="C295" s="6">
        <f>VLOOKUP(A295,fund_value_simple[],8,FALSE)</f>
        <v>1.1591023610374862</v>
      </c>
      <c r="D295" s="5">
        <f t="shared" si="15"/>
        <v>136237.84703671979</v>
      </c>
      <c r="E295">
        <v>90000</v>
      </c>
      <c r="F295" s="4">
        <f t="shared" si="13"/>
        <v>0.51375385596355316</v>
      </c>
    </row>
    <row r="296" spans="1:6" x14ac:dyDescent="0.5">
      <c r="A296" s="3">
        <v>43878</v>
      </c>
      <c r="B296">
        <v>117537.37341607724</v>
      </c>
      <c r="C296" s="6">
        <f>VLOOKUP(A296,fund_value_simple[],8,FALSE)</f>
        <v>1.195892856138304</v>
      </c>
      <c r="D296" s="5">
        <f t="shared" si="15"/>
        <v>140562.10519754697</v>
      </c>
      <c r="E296">
        <v>90000</v>
      </c>
      <c r="F296" s="4">
        <f t="shared" si="13"/>
        <v>0.561801168861633</v>
      </c>
    </row>
    <row r="297" spans="1:6" x14ac:dyDescent="0.5">
      <c r="A297" s="3">
        <v>43879</v>
      </c>
      <c r="B297">
        <v>117537.37341607724</v>
      </c>
      <c r="C297" s="6">
        <f>VLOOKUP(A297,fund_value_simple[],8,FALSE)</f>
        <v>1.2137187501442974</v>
      </c>
      <c r="D297" s="5">
        <f t="shared" si="15"/>
        <v>142657.31395780484</v>
      </c>
      <c r="E297">
        <v>90000</v>
      </c>
      <c r="F297" s="4">
        <f t="shared" si="13"/>
        <v>0.58508126619783163</v>
      </c>
    </row>
    <row r="298" spans="1:6" x14ac:dyDescent="0.5">
      <c r="A298" s="3">
        <v>43880</v>
      </c>
      <c r="B298">
        <v>117537.37341607724</v>
      </c>
      <c r="C298" s="6">
        <f>VLOOKUP(A298,fund_value_simple[],8,FALSE)</f>
        <v>1.198425782722508</v>
      </c>
      <c r="D298" s="5">
        <f t="shared" si="15"/>
        <v>140859.81873531008</v>
      </c>
      <c r="E298">
        <v>90000</v>
      </c>
      <c r="F298" s="4">
        <f t="shared" si="13"/>
        <v>0.56510909705900092</v>
      </c>
    </row>
    <row r="299" spans="1:6" x14ac:dyDescent="0.5">
      <c r="A299" s="3">
        <v>43881</v>
      </c>
      <c r="B299">
        <v>117537.37341607724</v>
      </c>
      <c r="C299" s="6">
        <f>VLOOKUP(A299,fund_value_simple[],8,FALSE)</f>
        <v>1.2352606991173216</v>
      </c>
      <c r="D299" s="5">
        <f t="shared" si="15"/>
        <v>145189.29805835726</v>
      </c>
      <c r="E299">
        <v>90000</v>
      </c>
      <c r="F299" s="4">
        <f t="shared" si="13"/>
        <v>0.61321442287063632</v>
      </c>
    </row>
    <row r="300" spans="1:6" x14ac:dyDescent="0.5">
      <c r="A300" s="3">
        <v>43882</v>
      </c>
      <c r="B300">
        <v>117537.37341607724</v>
      </c>
      <c r="C300" s="6">
        <f>VLOOKUP(A300,fund_value_simple[],8,FALSE)</f>
        <v>1.2579231951994725</v>
      </c>
      <c r="D300" s="5">
        <f t="shared" si="15"/>
        <v>147852.98832290541</v>
      </c>
      <c r="E300">
        <v>90000</v>
      </c>
      <c r="F300" s="4">
        <f t="shared" si="13"/>
        <v>0.64281098136561565</v>
      </c>
    </row>
    <row r="301" spans="1:6" x14ac:dyDescent="0.5">
      <c r="A301" s="3">
        <v>43885</v>
      </c>
      <c r="B301">
        <v>117537.37341607724</v>
      </c>
      <c r="C301" s="6">
        <f>VLOOKUP(A301,fund_value_simple[],8,FALSE)</f>
        <v>1.2914320662164702</v>
      </c>
      <c r="D301" s="5">
        <f t="shared" si="15"/>
        <v>151791.53300838146</v>
      </c>
      <c r="E301">
        <v>90000</v>
      </c>
      <c r="F301" s="4">
        <f t="shared" si="13"/>
        <v>0.68657258898201623</v>
      </c>
    </row>
    <row r="302" spans="1:6" x14ac:dyDescent="0.5">
      <c r="A302" s="3">
        <v>43886</v>
      </c>
      <c r="B302">
        <v>117537.37341607724</v>
      </c>
      <c r="C302" s="6">
        <f>VLOOKUP(A302,fund_value_simple[],8,FALSE)</f>
        <v>1.272042017304297</v>
      </c>
      <c r="D302" s="5">
        <f t="shared" si="15"/>
        <v>149512.47758883535</v>
      </c>
      <c r="E302">
        <v>90000</v>
      </c>
      <c r="F302" s="4">
        <f t="shared" si="13"/>
        <v>0.6612497509870594</v>
      </c>
    </row>
    <row r="303" spans="1:6" x14ac:dyDescent="0.5">
      <c r="A303" s="3">
        <v>43887</v>
      </c>
      <c r="B303">
        <v>117537.37341607724</v>
      </c>
      <c r="C303" s="6">
        <f>VLOOKUP(A303,fund_value_simple[],8,FALSE)</f>
        <v>1.2411718528604458</v>
      </c>
      <c r="D303" s="5">
        <f t="shared" si="15"/>
        <v>145884.07954318271</v>
      </c>
      <c r="E303">
        <v>90000</v>
      </c>
      <c r="F303" s="4">
        <f t="shared" si="13"/>
        <v>0.62093421714647457</v>
      </c>
    </row>
    <row r="304" spans="1:6" x14ac:dyDescent="0.5">
      <c r="A304" s="3">
        <v>43888</v>
      </c>
      <c r="B304">
        <v>117537.37341607724</v>
      </c>
      <c r="C304" s="6">
        <f>VLOOKUP(A304,fund_value_simple[],8,FALSE)</f>
        <v>1.2411718528604458</v>
      </c>
      <c r="D304" s="5">
        <f t="shared" si="15"/>
        <v>145884.07954318271</v>
      </c>
      <c r="E304">
        <v>90000</v>
      </c>
      <c r="F304" s="4">
        <f t="shared" si="13"/>
        <v>0.62093421714647457</v>
      </c>
    </row>
    <row r="305" spans="1:6" x14ac:dyDescent="0.5">
      <c r="A305" s="3">
        <v>43889</v>
      </c>
      <c r="B305">
        <v>117537.37341607724</v>
      </c>
      <c r="C305" s="6">
        <f>VLOOKUP(A305,fund_value_simple[],8,FALSE)</f>
        <v>1.2411718528604458</v>
      </c>
      <c r="D305" s="5">
        <f t="shared" si="15"/>
        <v>145884.07954318271</v>
      </c>
      <c r="E305">
        <v>90000</v>
      </c>
      <c r="F305" s="4">
        <f t="shared" si="13"/>
        <v>0.62093421714647457</v>
      </c>
    </row>
    <row r="306" spans="1:6" x14ac:dyDescent="0.5">
      <c r="A306" s="3">
        <v>43892</v>
      </c>
      <c r="B306">
        <v>117537.37341607724</v>
      </c>
      <c r="C306" s="6">
        <f>VLOOKUP(A306,fund_value_simple[],8,FALSE)</f>
        <v>1.2411718528604458</v>
      </c>
      <c r="D306" s="5">
        <f t="shared" si="15"/>
        <v>145884.07954318271</v>
      </c>
      <c r="E306">
        <v>90000</v>
      </c>
      <c r="F306" s="4">
        <f t="shared" si="13"/>
        <v>0.62093421714647457</v>
      </c>
    </row>
    <row r="307" spans="1:6" x14ac:dyDescent="0.5">
      <c r="A307" s="3">
        <v>43893</v>
      </c>
      <c r="B307">
        <v>117537.37341607724</v>
      </c>
      <c r="C307" s="6">
        <f>VLOOKUP(A307,fund_value_simple[],8,FALSE)</f>
        <v>1.2411718528604458</v>
      </c>
      <c r="D307" s="5">
        <f t="shared" si="15"/>
        <v>145884.07954318271</v>
      </c>
      <c r="E307">
        <v>90000</v>
      </c>
      <c r="F307" s="4">
        <f t="shared" ref="F307:F370" si="16">(D307-E307)/E307</f>
        <v>0.62093421714647457</v>
      </c>
    </row>
    <row r="308" spans="1:6" x14ac:dyDescent="0.5">
      <c r="A308" s="3">
        <v>43894</v>
      </c>
      <c r="B308">
        <v>117537.37341607724</v>
      </c>
      <c r="C308" s="6">
        <f>VLOOKUP(A308,fund_value_simple[],8,FALSE)</f>
        <v>1.2411718528604458</v>
      </c>
      <c r="D308" s="5">
        <f t="shared" si="15"/>
        <v>145884.07954318271</v>
      </c>
      <c r="E308">
        <v>90000</v>
      </c>
      <c r="F308" s="4">
        <f t="shared" si="16"/>
        <v>0.62093421714647457</v>
      </c>
    </row>
    <row r="309" spans="1:6" x14ac:dyDescent="0.5">
      <c r="A309" s="3">
        <v>43895</v>
      </c>
      <c r="B309">
        <v>117537.37341607724</v>
      </c>
      <c r="C309" s="6">
        <f>VLOOKUP(A309,fund_value_simple[],8,FALSE)</f>
        <v>1.2411718528604458</v>
      </c>
      <c r="D309" s="5">
        <f t="shared" si="15"/>
        <v>145884.07954318271</v>
      </c>
      <c r="E309">
        <v>90000</v>
      </c>
      <c r="F309" s="4">
        <f t="shared" si="16"/>
        <v>0.62093421714647457</v>
      </c>
    </row>
    <row r="310" spans="1:6" x14ac:dyDescent="0.5">
      <c r="A310" s="3">
        <v>43896</v>
      </c>
      <c r="B310">
        <v>117537.37341607724</v>
      </c>
      <c r="C310" s="6">
        <f>VLOOKUP(A310,fund_value_simple[],8,FALSE)</f>
        <v>1.2400957826859178</v>
      </c>
      <c r="D310" s="5">
        <f t="shared" si="15"/>
        <v>145757.60108125731</v>
      </c>
      <c r="E310">
        <v>90000</v>
      </c>
      <c r="F310" s="4">
        <f t="shared" si="16"/>
        <v>0.61952890090285895</v>
      </c>
    </row>
    <row r="311" spans="1:6" x14ac:dyDescent="0.5">
      <c r="A311" s="3">
        <v>43899</v>
      </c>
      <c r="B311">
        <v>117537.37341607724</v>
      </c>
      <c r="C311" s="6">
        <f>VLOOKUP(A311,fund_value_simple[],8,FALSE)</f>
        <v>1.2355281313245159</v>
      </c>
      <c r="D311" s="5">
        <f t="shared" si="15"/>
        <v>145220.73133755775</v>
      </c>
      <c r="E311">
        <v>90000</v>
      </c>
      <c r="F311" s="4">
        <f t="shared" si="16"/>
        <v>0.61356368152841945</v>
      </c>
    </row>
    <row r="312" spans="1:6" x14ac:dyDescent="0.5">
      <c r="A312" s="3">
        <v>43900</v>
      </c>
      <c r="B312">
        <v>117537.37341607724</v>
      </c>
      <c r="C312" s="6">
        <f>VLOOKUP(A312,fund_value_simple[],8,FALSE)</f>
        <v>1.2382586533414197</v>
      </c>
      <c r="D312" s="5">
        <f t="shared" si="15"/>
        <v>145541.6697234794</v>
      </c>
      <c r="E312">
        <v>90000</v>
      </c>
      <c r="F312" s="4">
        <f t="shared" si="16"/>
        <v>0.61712966359421551</v>
      </c>
    </row>
    <row r="313" spans="1:6" x14ac:dyDescent="0.5">
      <c r="A313" s="3">
        <v>43901</v>
      </c>
      <c r="B313">
        <v>117537.37341607724</v>
      </c>
      <c r="C313" s="6">
        <f>VLOOKUP(A313,fund_value_simple[],8,FALSE)</f>
        <v>1.2354704123573381</v>
      </c>
      <c r="D313" s="5">
        <f t="shared" si="15"/>
        <v>145213.94720175938</v>
      </c>
      <c r="E313">
        <v>90000</v>
      </c>
      <c r="F313" s="4">
        <f t="shared" si="16"/>
        <v>0.61348830224177087</v>
      </c>
    </row>
    <row r="314" spans="1:6" x14ac:dyDescent="0.5">
      <c r="A314" s="3">
        <v>43902</v>
      </c>
      <c r="B314">
        <v>117537.37341607724</v>
      </c>
      <c r="C314" s="6">
        <f>VLOOKUP(A314,fund_value_simple[],8,FALSE)</f>
        <v>1.2299354797197142</v>
      </c>
      <c r="D314" s="5">
        <f t="shared" si="15"/>
        <v>144563.38575749815</v>
      </c>
      <c r="E314">
        <v>90000</v>
      </c>
      <c r="F314" s="4">
        <f t="shared" si="16"/>
        <v>0.60625984174997949</v>
      </c>
    </row>
    <row r="315" spans="1:6" x14ac:dyDescent="0.5">
      <c r="A315" s="3">
        <v>43903</v>
      </c>
      <c r="B315">
        <v>117537.37341607724</v>
      </c>
      <c r="C315" s="6">
        <f>VLOOKUP(A315,fund_value_simple[],8,FALSE)</f>
        <v>1.2367244871090419</v>
      </c>
      <c r="D315" s="5">
        <f t="shared" si="15"/>
        <v>145361.34785414208</v>
      </c>
      <c r="E315">
        <v>90000</v>
      </c>
      <c r="F315" s="4">
        <f t="shared" si="16"/>
        <v>0.61512608726824536</v>
      </c>
    </row>
    <row r="316" spans="1:6" x14ac:dyDescent="0.5">
      <c r="A316" s="3">
        <v>43906</v>
      </c>
      <c r="B316">
        <v>117537.37341607724</v>
      </c>
      <c r="C316" s="6">
        <f>VLOOKUP(A316,fund_value_simple[],8,FALSE)</f>
        <v>1.234702454369063</v>
      </c>
      <c r="D316" s="5">
        <f t="shared" si="15"/>
        <v>145123.68343692363</v>
      </c>
      <c r="E316">
        <v>90000</v>
      </c>
      <c r="F316" s="4">
        <f t="shared" si="16"/>
        <v>0.61248537152137372</v>
      </c>
    </row>
    <row r="317" spans="1:6" x14ac:dyDescent="0.5">
      <c r="A317" s="3">
        <v>43907</v>
      </c>
      <c r="B317">
        <v>117537.37341607724</v>
      </c>
      <c r="C317" s="6">
        <f>VLOOKUP(A317,fund_value_simple[],8,FALSE)</f>
        <v>1.234702454369063</v>
      </c>
      <c r="D317" s="5">
        <f t="shared" si="15"/>
        <v>145123.68343692363</v>
      </c>
      <c r="E317">
        <v>90000</v>
      </c>
      <c r="F317" s="4">
        <f t="shared" si="16"/>
        <v>0.61248537152137372</v>
      </c>
    </row>
    <row r="318" spans="1:6" x14ac:dyDescent="0.5">
      <c r="A318" s="3">
        <v>43908</v>
      </c>
      <c r="B318">
        <v>117537.37341607724</v>
      </c>
      <c r="C318" s="6">
        <f>VLOOKUP(A318,fund_value_simple[],8,FALSE)</f>
        <v>1.234702454369063</v>
      </c>
      <c r="D318" s="5">
        <f t="shared" si="15"/>
        <v>145123.68343692363</v>
      </c>
      <c r="E318">
        <v>90000</v>
      </c>
      <c r="F318" s="4">
        <f t="shared" si="16"/>
        <v>0.61248537152137372</v>
      </c>
    </row>
    <row r="319" spans="1:6" x14ac:dyDescent="0.5">
      <c r="A319" s="3">
        <v>43909</v>
      </c>
      <c r="B319">
        <v>117537.37341607724</v>
      </c>
      <c r="C319" s="6">
        <f>VLOOKUP(A319,fund_value_simple[],8,FALSE)</f>
        <v>1.234702454369063</v>
      </c>
      <c r="D319" s="5">
        <f t="shared" si="15"/>
        <v>145123.68343692363</v>
      </c>
      <c r="E319">
        <v>90000</v>
      </c>
      <c r="F319" s="4">
        <f t="shared" si="16"/>
        <v>0.61248537152137372</v>
      </c>
    </row>
    <row r="320" spans="1:6" x14ac:dyDescent="0.5">
      <c r="A320" s="3">
        <v>43910</v>
      </c>
      <c r="B320">
        <v>117537.37341607724</v>
      </c>
      <c r="C320" s="6">
        <f>VLOOKUP(A320,fund_value_simple[],8,FALSE)</f>
        <v>1.2347331931180394</v>
      </c>
      <c r="D320" s="5">
        <f t="shared" si="15"/>
        <v>145127.29638874042</v>
      </c>
      <c r="E320">
        <v>90000</v>
      </c>
      <c r="F320" s="4">
        <f t="shared" si="16"/>
        <v>0.61252551543044909</v>
      </c>
    </row>
    <row r="321" spans="1:6" x14ac:dyDescent="0.5">
      <c r="A321" s="3">
        <v>43913</v>
      </c>
      <c r="B321">
        <v>117537.37341607724</v>
      </c>
      <c r="C321" s="6">
        <f>VLOOKUP(A321,fund_value_simple[],8,FALSE)</f>
        <v>1.2347331931180399</v>
      </c>
      <c r="D321" s="5">
        <f t="shared" si="15"/>
        <v>145127.29638874048</v>
      </c>
      <c r="E321">
        <v>90000</v>
      </c>
      <c r="F321" s="4">
        <f t="shared" si="16"/>
        <v>0.61252551543044975</v>
      </c>
    </row>
    <row r="322" spans="1:6" x14ac:dyDescent="0.5">
      <c r="A322" s="3">
        <v>43914</v>
      </c>
      <c r="B322">
        <v>117537.37341607724</v>
      </c>
      <c r="C322" s="6">
        <f>VLOOKUP(A322,fund_value_simple[],8,FALSE)</f>
        <v>1.2347331931180399</v>
      </c>
      <c r="D322" s="5">
        <f t="shared" si="15"/>
        <v>145127.29638874048</v>
      </c>
      <c r="E322">
        <v>90000</v>
      </c>
      <c r="F322" s="4">
        <f t="shared" si="16"/>
        <v>0.61252551543044975</v>
      </c>
    </row>
    <row r="323" spans="1:6" x14ac:dyDescent="0.5">
      <c r="A323" s="3">
        <v>43915</v>
      </c>
      <c r="B323">
        <v>117537.37341607724</v>
      </c>
      <c r="C323" s="6">
        <f>VLOOKUP(A323,fund_value_simple[],8,FALSE)</f>
        <v>1.2347331931180399</v>
      </c>
      <c r="D323" s="5">
        <f t="shared" si="15"/>
        <v>145127.29638874048</v>
      </c>
      <c r="E323">
        <v>90000</v>
      </c>
      <c r="F323" s="4">
        <f t="shared" si="16"/>
        <v>0.61252551543044975</v>
      </c>
    </row>
    <row r="324" spans="1:6" x14ac:dyDescent="0.5">
      <c r="A324" s="3">
        <v>43916</v>
      </c>
      <c r="B324">
        <v>117537.37341607724</v>
      </c>
      <c r="C324" s="6">
        <f>VLOOKUP(A324,fund_value_simple[],8,FALSE)</f>
        <v>1.2347331931180399</v>
      </c>
      <c r="D324" s="5">
        <f t="shared" si="15"/>
        <v>145127.29638874048</v>
      </c>
      <c r="E324">
        <v>90000</v>
      </c>
      <c r="F324" s="4">
        <f t="shared" si="16"/>
        <v>0.61252551543044975</v>
      </c>
    </row>
    <row r="325" spans="1:6" x14ac:dyDescent="0.5">
      <c r="A325" s="3">
        <v>43917</v>
      </c>
      <c r="B325">
        <v>117537.37341607724</v>
      </c>
      <c r="C325" s="6">
        <f>VLOOKUP(A325,fund_value_simple[],8,FALSE)</f>
        <v>1.2347331931180399</v>
      </c>
      <c r="D325" s="5">
        <f t="shared" si="15"/>
        <v>145127.29638874048</v>
      </c>
      <c r="E325">
        <v>90000</v>
      </c>
      <c r="F325" s="4">
        <f t="shared" si="16"/>
        <v>0.61252551543044975</v>
      </c>
    </row>
    <row r="326" spans="1:6" x14ac:dyDescent="0.5">
      <c r="A326" s="3">
        <v>43920</v>
      </c>
      <c r="B326">
        <v>117537.37341607724</v>
      </c>
      <c r="C326" s="6">
        <f>VLOOKUP(A326,fund_value_simple[],8,FALSE)</f>
        <v>1.2347331931180399</v>
      </c>
      <c r="D326" s="5">
        <f t="shared" si="15"/>
        <v>145127.29638874048</v>
      </c>
      <c r="E326">
        <v>90000</v>
      </c>
      <c r="F326" s="4">
        <f t="shared" si="16"/>
        <v>0.61252551543044975</v>
      </c>
    </row>
    <row r="327" spans="1:6" x14ac:dyDescent="0.5">
      <c r="A327" s="3">
        <v>43921</v>
      </c>
      <c r="B327" s="2">
        <v>198526.53006737985</v>
      </c>
      <c r="C327" s="6">
        <f>VLOOKUP(A327,fund_value_simple[],8,FALSE)</f>
        <v>1.2347331931180399</v>
      </c>
      <c r="D327" s="5">
        <f t="shared" si="15"/>
        <v>245127.29638874048</v>
      </c>
      <c r="E327">
        <v>190000</v>
      </c>
      <c r="F327" s="4">
        <f t="shared" si="16"/>
        <v>0.29014366520389723</v>
      </c>
    </row>
    <row r="328" spans="1:6" x14ac:dyDescent="0.5">
      <c r="A328" s="3">
        <v>43922</v>
      </c>
      <c r="B328" s="2">
        <v>198526.53006737985</v>
      </c>
      <c r="C328" s="6">
        <f>VLOOKUP(A328,fund_value_simple[],8,FALSE)</f>
        <v>1.2347331931180399</v>
      </c>
      <c r="D328" s="5">
        <f t="shared" si="15"/>
        <v>245127.29638874048</v>
      </c>
      <c r="E328">
        <v>190000</v>
      </c>
      <c r="F328" s="4">
        <f t="shared" si="16"/>
        <v>0.29014366520389723</v>
      </c>
    </row>
    <row r="329" spans="1:6" x14ac:dyDescent="0.5">
      <c r="A329" s="3">
        <v>43923</v>
      </c>
      <c r="B329" s="2">
        <v>198526.53006737985</v>
      </c>
      <c r="C329" s="6">
        <f>VLOOKUP(A329,fund_value_simple[],8,FALSE)</f>
        <v>1.2347331931180399</v>
      </c>
      <c r="D329" s="5">
        <f t="shared" si="15"/>
        <v>245127.29638874048</v>
      </c>
      <c r="E329">
        <v>190000</v>
      </c>
      <c r="F329" s="4">
        <f t="shared" si="16"/>
        <v>0.29014366520389723</v>
      </c>
    </row>
    <row r="330" spans="1:6" x14ac:dyDescent="0.5">
      <c r="A330" s="3">
        <v>43924</v>
      </c>
      <c r="B330" s="2">
        <v>198526.53006737985</v>
      </c>
      <c r="C330" s="6">
        <f>VLOOKUP(A330,fund_value_simple[],8,FALSE)</f>
        <v>1.2347331931180399</v>
      </c>
      <c r="D330" s="5">
        <f t="shared" si="15"/>
        <v>245127.29638874048</v>
      </c>
      <c r="E330">
        <v>190000</v>
      </c>
      <c r="F330" s="4">
        <f t="shared" si="16"/>
        <v>0.29014366520389723</v>
      </c>
    </row>
    <row r="331" spans="1:6" x14ac:dyDescent="0.5">
      <c r="A331" s="3">
        <v>43928</v>
      </c>
      <c r="B331" s="2">
        <v>198526.53006737985</v>
      </c>
      <c r="C331" s="6">
        <f>VLOOKUP(A331,fund_value_simple[],8,FALSE)</f>
        <v>1.2347331931180399</v>
      </c>
      <c r="D331" s="5">
        <f t="shared" si="15"/>
        <v>245127.29638874048</v>
      </c>
      <c r="E331">
        <v>190000</v>
      </c>
      <c r="F331" s="4">
        <f t="shared" si="16"/>
        <v>0.29014366520389723</v>
      </c>
    </row>
    <row r="332" spans="1:6" x14ac:dyDescent="0.5">
      <c r="A332" s="3">
        <v>43929</v>
      </c>
      <c r="B332" s="2">
        <v>198526.53006737985</v>
      </c>
      <c r="C332" s="6">
        <f>VLOOKUP(A332,fund_value_simple[],8,FALSE)</f>
        <v>1.2347331931180399</v>
      </c>
      <c r="D332" s="5">
        <f t="shared" si="15"/>
        <v>245127.29638874048</v>
      </c>
      <c r="E332">
        <v>190000</v>
      </c>
      <c r="F332" s="4">
        <f t="shared" si="16"/>
        <v>0.29014366520389723</v>
      </c>
    </row>
    <row r="333" spans="1:6" x14ac:dyDescent="0.5">
      <c r="A333" s="3">
        <v>43930</v>
      </c>
      <c r="B333" s="2">
        <v>198526.53006737985</v>
      </c>
      <c r="C333" s="6">
        <f>VLOOKUP(A333,fund_value_simple[],8,FALSE)</f>
        <v>1.2346740570186012</v>
      </c>
      <c r="D333" s="5">
        <f t="shared" si="15"/>
        <v>245115.5563041172</v>
      </c>
      <c r="E333">
        <v>190000</v>
      </c>
      <c r="F333" s="4">
        <f t="shared" si="16"/>
        <v>0.29008187528482737</v>
      </c>
    </row>
    <row r="334" spans="1:6" x14ac:dyDescent="0.5">
      <c r="A334" s="3">
        <v>43931</v>
      </c>
      <c r="B334" s="2">
        <v>198526.53006737985</v>
      </c>
      <c r="C334" s="6">
        <f>VLOOKUP(A334,fund_value_simple[],8,FALSE)</f>
        <v>1.2297866502421266</v>
      </c>
      <c r="D334" s="5">
        <f t="shared" si="15"/>
        <v>244145.27639575591</v>
      </c>
      <c r="E334">
        <v>190000</v>
      </c>
      <c r="F334" s="4">
        <f t="shared" si="16"/>
        <v>0.28497513892503107</v>
      </c>
    </row>
    <row r="335" spans="1:6" x14ac:dyDescent="0.5">
      <c r="A335" s="3">
        <v>43934</v>
      </c>
      <c r="B335" s="2">
        <v>198526.53006737985</v>
      </c>
      <c r="C335" s="6">
        <f>VLOOKUP(A335,fund_value_simple[],8,FALSE)</f>
        <v>1.227481499507054</v>
      </c>
      <c r="D335" s="5">
        <f t="shared" si="15"/>
        <v>243687.64281903967</v>
      </c>
      <c r="E335">
        <v>190000</v>
      </c>
      <c r="F335" s="4">
        <f t="shared" si="16"/>
        <v>0.28256654115284036</v>
      </c>
    </row>
    <row r="336" spans="1:6" x14ac:dyDescent="0.5">
      <c r="A336" s="3">
        <v>43935</v>
      </c>
      <c r="B336" s="2">
        <v>198526.53006737985</v>
      </c>
      <c r="C336" s="6">
        <f>VLOOKUP(A336,fund_value_simple[],8,FALSE)</f>
        <v>1.2373460829988012</v>
      </c>
      <c r="D336" s="5">
        <f t="shared" si="15"/>
        <v>245646.0243502162</v>
      </c>
      <c r="E336">
        <v>190000</v>
      </c>
      <c r="F336" s="4">
        <f t="shared" si="16"/>
        <v>0.29287381236955895</v>
      </c>
    </row>
    <row r="337" spans="1:6" x14ac:dyDescent="0.5">
      <c r="A337" s="3">
        <v>43936</v>
      </c>
      <c r="B337" s="2">
        <v>198526.53006737985</v>
      </c>
      <c r="C337" s="6">
        <f>VLOOKUP(A337,fund_value_simple[],8,FALSE)</f>
        <v>1.2325223908889296</v>
      </c>
      <c r="D337" s="5">
        <f t="shared" si="15"/>
        <v>244688.39349352996</v>
      </c>
      <c r="E337">
        <v>190000</v>
      </c>
      <c r="F337" s="4">
        <f t="shared" si="16"/>
        <v>0.28783364996594718</v>
      </c>
    </row>
    <row r="338" spans="1:6" x14ac:dyDescent="0.5">
      <c r="A338" s="3">
        <v>43937</v>
      </c>
      <c r="B338" s="2">
        <v>198526.53006737985</v>
      </c>
      <c r="C338" s="6">
        <f>VLOOKUP(A338,fund_value_simple[],8,FALSE)</f>
        <v>1.2334664122658996</v>
      </c>
      <c r="D338" s="5">
        <f t="shared" si="15"/>
        <v>244875.80678180925</v>
      </c>
      <c r="E338">
        <v>190000</v>
      </c>
      <c r="F338" s="4">
        <f t="shared" si="16"/>
        <v>0.28882003569373293</v>
      </c>
    </row>
    <row r="339" spans="1:6" x14ac:dyDescent="0.5">
      <c r="A339" s="3">
        <v>43938</v>
      </c>
      <c r="B339" s="2">
        <v>198526.53006737985</v>
      </c>
      <c r="C339" s="6">
        <f>VLOOKUP(A339,fund_value_simple[],8,FALSE)</f>
        <v>1.2377129271897969</v>
      </c>
      <c r="D339" s="5">
        <f t="shared" si="15"/>
        <v>245718.85265452994</v>
      </c>
      <c r="E339">
        <v>190000</v>
      </c>
      <c r="F339" s="4">
        <f t="shared" si="16"/>
        <v>0.29325711923436809</v>
      </c>
    </row>
    <row r="340" spans="1:6" x14ac:dyDescent="0.5">
      <c r="A340" s="3">
        <v>43941</v>
      </c>
      <c r="B340" s="2">
        <v>198526.53006737985</v>
      </c>
      <c r="C340" s="6">
        <f>VLOOKUP(A340,fund_value_simple[],8,FALSE)</f>
        <v>1.2411738768275511</v>
      </c>
      <c r="D340" s="5">
        <f t="shared" si="15"/>
        <v>246405.94297685122</v>
      </c>
      <c r="E340">
        <v>190000</v>
      </c>
      <c r="F340" s="4">
        <f t="shared" si="16"/>
        <v>0.29687338408869063</v>
      </c>
    </row>
    <row r="341" spans="1:6" x14ac:dyDescent="0.5">
      <c r="A341" s="3">
        <v>43942</v>
      </c>
      <c r="B341" s="2">
        <v>198526.53006737985</v>
      </c>
      <c r="C341" s="6">
        <f>VLOOKUP(A341,fund_value_simple[],8,FALSE)</f>
        <v>1.2315957726447329</v>
      </c>
      <c r="D341" s="5">
        <f t="shared" ref="D341:D381" si="17">B341*C341</f>
        <v>244504.43518881247</v>
      </c>
      <c r="E341">
        <v>190000</v>
      </c>
      <c r="F341" s="4">
        <f t="shared" si="16"/>
        <v>0.28686544836217087</v>
      </c>
    </row>
    <row r="342" spans="1:6" x14ac:dyDescent="0.5">
      <c r="A342" s="3">
        <v>43943</v>
      </c>
      <c r="B342" s="2">
        <v>198526.53006737985</v>
      </c>
      <c r="C342" s="6">
        <f>VLOOKUP(A342,fund_value_simple[],8,FALSE)</f>
        <v>1.2357834293989167</v>
      </c>
      <c r="D342" s="5">
        <f t="shared" si="17"/>
        <v>245335.79615333382</v>
      </c>
      <c r="E342">
        <v>190000</v>
      </c>
      <c r="F342" s="4">
        <f t="shared" si="16"/>
        <v>0.29124103238596749</v>
      </c>
    </row>
    <row r="343" spans="1:6" x14ac:dyDescent="0.5">
      <c r="A343" s="3">
        <v>43944</v>
      </c>
      <c r="B343" s="2">
        <v>198526.53006737985</v>
      </c>
      <c r="C343" s="6">
        <f>VLOOKUP(A343,fund_value_simple[],8,FALSE)</f>
        <v>1.2373781420022096</v>
      </c>
      <c r="D343" s="5">
        <f t="shared" si="17"/>
        <v>245652.38891292029</v>
      </c>
      <c r="E343">
        <v>190000</v>
      </c>
      <c r="F343" s="4">
        <f t="shared" si="16"/>
        <v>0.29290731006800153</v>
      </c>
    </row>
    <row r="344" spans="1:6" x14ac:dyDescent="0.5">
      <c r="A344" s="3">
        <v>43945</v>
      </c>
      <c r="B344" s="2">
        <v>198526.53006737985</v>
      </c>
      <c r="C344" s="6">
        <f>VLOOKUP(A344,fund_value_simple[],8,FALSE)</f>
        <v>1.2328952053397655</v>
      </c>
      <c r="D344" s="5">
        <f t="shared" si="17"/>
        <v>244762.40705281342</v>
      </c>
      <c r="E344">
        <v>190000</v>
      </c>
      <c r="F344" s="4">
        <f t="shared" si="16"/>
        <v>0.28822319501480748</v>
      </c>
    </row>
    <row r="345" spans="1:6" x14ac:dyDescent="0.5">
      <c r="A345" s="3">
        <v>43948</v>
      </c>
      <c r="B345" s="2">
        <v>198526.53006737985</v>
      </c>
      <c r="C345" s="6">
        <f>VLOOKUP(A345,fund_value_simple[],8,FALSE)</f>
        <v>1.2382030488242408</v>
      </c>
      <c r="D345" s="5">
        <f t="shared" si="17"/>
        <v>245816.15480192704</v>
      </c>
      <c r="E345">
        <v>190000</v>
      </c>
      <c r="F345" s="4">
        <f t="shared" si="16"/>
        <v>0.293769235799616</v>
      </c>
    </row>
    <row r="346" spans="1:6" x14ac:dyDescent="0.5">
      <c r="A346" s="3">
        <v>43949</v>
      </c>
      <c r="B346" s="2">
        <v>198526.53006737985</v>
      </c>
      <c r="C346" s="6">
        <f>VLOOKUP(A346,fund_value_simple[],8,FALSE)</f>
        <v>1.2359208244920603</v>
      </c>
      <c r="D346" s="5">
        <f t="shared" si="17"/>
        <v>245363.0727244239</v>
      </c>
      <c r="E346">
        <v>190000</v>
      </c>
      <c r="F346" s="4">
        <f t="shared" si="16"/>
        <v>0.29138459328644156</v>
      </c>
    </row>
    <row r="347" spans="1:6" x14ac:dyDescent="0.5">
      <c r="A347" s="3">
        <v>43950</v>
      </c>
      <c r="B347" s="2">
        <v>198526.53006737985</v>
      </c>
      <c r="C347" s="6">
        <f>VLOOKUP(A347,fund_value_simple[],8,FALSE)</f>
        <v>1.2378688116310734</v>
      </c>
      <c r="D347" s="5">
        <f t="shared" si="17"/>
        <v>245749.79985174807</v>
      </c>
      <c r="E347">
        <v>190000</v>
      </c>
      <c r="F347" s="4">
        <f t="shared" si="16"/>
        <v>0.29341999921972672</v>
      </c>
    </row>
    <row r="348" spans="1:6" x14ac:dyDescent="0.5">
      <c r="A348" s="3">
        <v>43951</v>
      </c>
      <c r="B348" s="2">
        <v>198526.53006737985</v>
      </c>
      <c r="C348" s="6">
        <f>VLOOKUP(A348,fund_value_simple[],8,FALSE)</f>
        <v>1.2537296551542974</v>
      </c>
      <c r="D348" s="5">
        <f t="shared" si="17"/>
        <v>248898.59808035538</v>
      </c>
      <c r="E348">
        <v>190000</v>
      </c>
      <c r="F348" s="4">
        <f t="shared" si="16"/>
        <v>0.30999262147555467</v>
      </c>
    </row>
    <row r="349" spans="1:6" x14ac:dyDescent="0.5">
      <c r="A349" s="3">
        <v>43957</v>
      </c>
      <c r="B349" s="2">
        <v>198526.53006737985</v>
      </c>
      <c r="C349" s="6">
        <f>VLOOKUP(A349,fund_value_simple[],8,FALSE)</f>
        <v>1.2520040167837412</v>
      </c>
      <c r="D349" s="5">
        <f t="shared" si="17"/>
        <v>248556.01308249772</v>
      </c>
      <c r="E349">
        <v>190000</v>
      </c>
      <c r="F349" s="4">
        <f t="shared" si="16"/>
        <v>0.30818954253946168</v>
      </c>
    </row>
    <row r="350" spans="1:6" x14ac:dyDescent="0.5">
      <c r="A350" s="3">
        <v>43958</v>
      </c>
      <c r="B350" s="2">
        <v>198526.53006737985</v>
      </c>
      <c r="C350" s="6">
        <f>VLOOKUP(A350,fund_value_simple[],8,FALSE)</f>
        <v>1.2465961343137566</v>
      </c>
      <c r="D350" s="5">
        <f t="shared" si="17"/>
        <v>247482.40494071948</v>
      </c>
      <c r="E350">
        <v>190000</v>
      </c>
      <c r="F350" s="4">
        <f t="shared" si="16"/>
        <v>0.30253897337220781</v>
      </c>
    </row>
    <row r="351" spans="1:6" x14ac:dyDescent="0.5">
      <c r="A351" s="3">
        <v>43959</v>
      </c>
      <c r="B351" s="2">
        <v>198526.53006737985</v>
      </c>
      <c r="C351" s="6">
        <f>VLOOKUP(A351,fund_value_simple[],8,FALSE)</f>
        <v>1.256115166616097</v>
      </c>
      <c r="D351" s="5">
        <f t="shared" si="17"/>
        <v>249372.18539330244</v>
      </c>
      <c r="E351">
        <v>190000</v>
      </c>
      <c r="F351" s="4">
        <f t="shared" si="16"/>
        <v>0.31248518628053917</v>
      </c>
    </row>
    <row r="352" spans="1:6" x14ac:dyDescent="0.5">
      <c r="A352" s="3">
        <v>43962</v>
      </c>
      <c r="B352" s="2">
        <v>198526.53006737985</v>
      </c>
      <c r="C352" s="6">
        <f>VLOOKUP(A352,fund_value_simple[],8,FALSE)</f>
        <v>1.2538853333233426</v>
      </c>
      <c r="D352" s="5">
        <f t="shared" si="17"/>
        <v>248929.50432706319</v>
      </c>
      <c r="E352">
        <v>190000</v>
      </c>
      <c r="F352" s="4">
        <f t="shared" si="16"/>
        <v>0.3101552859319115</v>
      </c>
    </row>
    <row r="353" spans="1:6" x14ac:dyDescent="0.5">
      <c r="A353" s="3">
        <v>43963</v>
      </c>
      <c r="B353" s="2">
        <v>198526.53006737985</v>
      </c>
      <c r="C353" s="6">
        <f>VLOOKUP(A353,fund_value_simple[],8,FALSE)</f>
        <v>1.2533455174573407</v>
      </c>
      <c r="D353" s="5">
        <f t="shared" si="17"/>
        <v>248822.3365563105</v>
      </c>
      <c r="E353">
        <v>190000</v>
      </c>
      <c r="F353" s="4">
        <f t="shared" si="16"/>
        <v>0.30959124503321317</v>
      </c>
    </row>
    <row r="354" spans="1:6" x14ac:dyDescent="0.5">
      <c r="A354" s="3">
        <v>43964</v>
      </c>
      <c r="B354" s="2">
        <v>198526.53006737985</v>
      </c>
      <c r="C354" s="6">
        <f>VLOOKUP(A354,fund_value_simple[],8,FALSE)</f>
        <v>1.2591495729768341</v>
      </c>
      <c r="D354" s="5">
        <f t="shared" si="17"/>
        <v>249974.59555891395</v>
      </c>
      <c r="E354">
        <v>190000</v>
      </c>
      <c r="F354" s="4">
        <f t="shared" si="16"/>
        <v>0.3156557660995471</v>
      </c>
    </row>
    <row r="355" spans="1:6" x14ac:dyDescent="0.5">
      <c r="A355" s="3">
        <v>43965</v>
      </c>
      <c r="B355" s="2">
        <v>198526.53006737985</v>
      </c>
      <c r="C355" s="6">
        <f>VLOOKUP(A355,fund_value_simple[],8,FALSE)</f>
        <v>1.2498056655291858</v>
      </c>
      <c r="D355" s="5">
        <f t="shared" si="17"/>
        <v>248119.58203606159</v>
      </c>
      <c r="E355">
        <v>190000</v>
      </c>
      <c r="F355" s="4">
        <f t="shared" si="16"/>
        <v>0.30589253703190311</v>
      </c>
    </row>
    <row r="356" spans="1:6" x14ac:dyDescent="0.5">
      <c r="A356" s="3">
        <v>43966</v>
      </c>
      <c r="B356" s="2">
        <v>198526.53006737985</v>
      </c>
      <c r="C356" s="6">
        <f>VLOOKUP(A356,fund_value_simple[],8,FALSE)</f>
        <v>1.2528621189441969</v>
      </c>
      <c r="D356" s="5">
        <f t="shared" si="17"/>
        <v>248726.36912685633</v>
      </c>
      <c r="E356">
        <v>190000</v>
      </c>
      <c r="F356" s="4">
        <f t="shared" si="16"/>
        <v>0.30908615329924383</v>
      </c>
    </row>
    <row r="357" spans="1:6" x14ac:dyDescent="0.5">
      <c r="A357" s="3">
        <v>43969</v>
      </c>
      <c r="B357" s="2">
        <v>198526.53006737985</v>
      </c>
      <c r="C357" s="6">
        <f>VLOOKUP(A357,fund_value_simple[],8,FALSE)</f>
        <v>1.2552648627586811</v>
      </c>
      <c r="D357" s="5">
        <f t="shared" si="17"/>
        <v>249203.37751898673</v>
      </c>
      <c r="E357">
        <v>190000</v>
      </c>
      <c r="F357" s="4">
        <f t="shared" si="16"/>
        <v>0.31159672378414066</v>
      </c>
    </row>
    <row r="358" spans="1:6" x14ac:dyDescent="0.5">
      <c r="A358" s="3">
        <v>43970</v>
      </c>
      <c r="B358" s="2">
        <v>198526.53006737985</v>
      </c>
      <c r="C358" s="6">
        <f>VLOOKUP(A358,fund_value_simple[],8,FALSE)</f>
        <v>1.2688011083312356</v>
      </c>
      <c r="D358" s="5">
        <f t="shared" si="17"/>
        <v>251890.68138264591</v>
      </c>
      <c r="E358">
        <v>190000</v>
      </c>
      <c r="F358" s="4">
        <f t="shared" si="16"/>
        <v>0.32574042832971534</v>
      </c>
    </row>
    <row r="359" spans="1:6" x14ac:dyDescent="0.5">
      <c r="A359" s="3">
        <v>43971</v>
      </c>
      <c r="B359" s="2">
        <v>198526.53006737985</v>
      </c>
      <c r="C359" s="6">
        <f>VLOOKUP(A359,fund_value_simple[],8,FALSE)</f>
        <v>1.2629857576534051</v>
      </c>
      <c r="D359" s="5">
        <f t="shared" si="17"/>
        <v>250736.17999145127</v>
      </c>
      <c r="E359">
        <v>190000</v>
      </c>
      <c r="F359" s="4">
        <f t="shared" si="16"/>
        <v>0.31966410521816457</v>
      </c>
    </row>
    <row r="360" spans="1:6" x14ac:dyDescent="0.5">
      <c r="A360" s="3">
        <v>43972</v>
      </c>
      <c r="B360" s="2">
        <v>198526.53006737985</v>
      </c>
      <c r="C360" s="6">
        <f>VLOOKUP(A360,fund_value_simple[],8,FALSE)</f>
        <v>1.2551403465618143</v>
      </c>
      <c r="D360" s="5">
        <f t="shared" si="17"/>
        <v>249178.65775048558</v>
      </c>
      <c r="E360">
        <v>190000</v>
      </c>
      <c r="F360" s="4">
        <f t="shared" si="16"/>
        <v>0.31146661973939782</v>
      </c>
    </row>
    <row r="361" spans="1:6" x14ac:dyDescent="0.5">
      <c r="A361" s="3">
        <v>43973</v>
      </c>
      <c r="B361" s="2">
        <v>198526.53006737985</v>
      </c>
      <c r="C361" s="6">
        <f>VLOOKUP(A361,fund_value_simple[],8,FALSE)</f>
        <v>1.2341886487894993</v>
      </c>
      <c r="D361" s="5">
        <f t="shared" si="17"/>
        <v>245019.18989272745</v>
      </c>
      <c r="E361">
        <v>190000</v>
      </c>
      <c r="F361" s="4">
        <f t="shared" si="16"/>
        <v>0.28957468364593392</v>
      </c>
    </row>
    <row r="362" spans="1:6" x14ac:dyDescent="0.5">
      <c r="A362" s="3">
        <v>43976</v>
      </c>
      <c r="B362" s="2">
        <v>198526.53006737985</v>
      </c>
      <c r="C362" s="6">
        <f>VLOOKUP(A362,fund_value_simple[],8,FALSE)</f>
        <v>1.2351806006090442</v>
      </c>
      <c r="D362" s="5">
        <f t="shared" si="17"/>
        <v>245216.11864545572</v>
      </c>
      <c r="E362">
        <v>190000</v>
      </c>
      <c r="F362" s="4">
        <f t="shared" si="16"/>
        <v>0.29061115076555638</v>
      </c>
    </row>
    <row r="363" spans="1:6" x14ac:dyDescent="0.5">
      <c r="A363" s="3">
        <v>43977</v>
      </c>
      <c r="B363" s="2">
        <v>198526.53006737985</v>
      </c>
      <c r="C363" s="6">
        <f>VLOOKUP(A363,fund_value_simple[],8,FALSE)</f>
        <v>1.2450634839190113</v>
      </c>
      <c r="D363" s="5">
        <f t="shared" si="17"/>
        <v>247178.1331760443</v>
      </c>
      <c r="E363">
        <v>190000</v>
      </c>
      <c r="F363" s="4">
        <f t="shared" si="16"/>
        <v>0.30093754303181208</v>
      </c>
    </row>
    <row r="364" spans="1:6" x14ac:dyDescent="0.5">
      <c r="A364" s="3">
        <v>43978</v>
      </c>
      <c r="B364" s="2">
        <v>198526.53006737985</v>
      </c>
      <c r="C364" s="6">
        <f>VLOOKUP(A364,fund_value_simple[],8,FALSE)</f>
        <v>1.2357530273217978</v>
      </c>
      <c r="D364" s="5">
        <f t="shared" si="17"/>
        <v>245329.76053445655</v>
      </c>
      <c r="E364">
        <v>190000</v>
      </c>
      <c r="F364" s="4">
        <f t="shared" si="16"/>
        <v>0.29120926597082397</v>
      </c>
    </row>
    <row r="365" spans="1:6" x14ac:dyDescent="0.5">
      <c r="A365" s="3">
        <v>43979</v>
      </c>
      <c r="B365" s="2">
        <v>198526.53006737985</v>
      </c>
      <c r="C365" s="6">
        <f>VLOOKUP(A365,fund_value_simple[],8,FALSE)</f>
        <v>1.2341521199384216</v>
      </c>
      <c r="D365" s="5">
        <f t="shared" si="17"/>
        <v>245011.93794667564</v>
      </c>
      <c r="E365">
        <v>190000</v>
      </c>
      <c r="F365" s="4">
        <f t="shared" si="16"/>
        <v>0.28953651550881915</v>
      </c>
    </row>
    <row r="366" spans="1:6" x14ac:dyDescent="0.5">
      <c r="A366" s="3">
        <v>43980</v>
      </c>
      <c r="B366" s="2">
        <v>198526.53006737985</v>
      </c>
      <c r="C366" s="6">
        <f>VLOOKUP(A366,fund_value_simple[],8,FALSE)</f>
        <v>1.2381198211821991</v>
      </c>
      <c r="D366" s="5">
        <f t="shared" si="17"/>
        <v>245799.6319069468</v>
      </c>
      <c r="E366">
        <v>190000</v>
      </c>
      <c r="F366" s="4">
        <f t="shared" si="16"/>
        <v>0.29368227319445683</v>
      </c>
    </row>
    <row r="367" spans="1:6" x14ac:dyDescent="0.5">
      <c r="A367" s="3">
        <v>43983</v>
      </c>
      <c r="B367" s="2">
        <v>198526.53006737985</v>
      </c>
      <c r="C367" s="6">
        <f>VLOOKUP(A367,fund_value_simple[],8,FALSE)</f>
        <v>1.25932999901336</v>
      </c>
      <c r="D367" s="5">
        <f t="shared" si="17"/>
        <v>250010.41491387924</v>
      </c>
      <c r="E367">
        <v>190000</v>
      </c>
      <c r="F367" s="4">
        <f t="shared" si="16"/>
        <v>0.31584428902041706</v>
      </c>
    </row>
    <row r="368" spans="1:6" x14ac:dyDescent="0.5">
      <c r="A368" s="3">
        <v>43984</v>
      </c>
      <c r="B368" s="2">
        <v>198526.53006737985</v>
      </c>
      <c r="C368" s="6">
        <f>VLOOKUP(A368,fund_value_simple[],8,FALSE)</f>
        <v>1.2546356440208555</v>
      </c>
      <c r="D368" s="5">
        <f t="shared" si="17"/>
        <v>249078.46090631286</v>
      </c>
      <c r="E368">
        <v>190000</v>
      </c>
      <c r="F368" s="4">
        <f t="shared" si="16"/>
        <v>0.31093926792796239</v>
      </c>
    </row>
    <row r="369" spans="1:6" x14ac:dyDescent="0.5">
      <c r="A369" s="3">
        <v>43985</v>
      </c>
      <c r="B369" s="2">
        <v>198526.53006737985</v>
      </c>
      <c r="C369" s="6">
        <f>VLOOKUP(A369,fund_value_simple[],8,FALSE)</f>
        <v>1.2494742074927987</v>
      </c>
      <c r="D369" s="5">
        <f t="shared" si="17"/>
        <v>248053.77882223472</v>
      </c>
      <c r="E369">
        <v>190000</v>
      </c>
      <c r="F369" s="4">
        <f t="shared" si="16"/>
        <v>0.30554620432755114</v>
      </c>
    </row>
    <row r="370" spans="1:6" x14ac:dyDescent="0.5">
      <c r="A370" s="3">
        <v>43986</v>
      </c>
      <c r="B370" s="2">
        <v>198526.53006737985</v>
      </c>
      <c r="C370" s="6">
        <f>VLOOKUP(A370,fund_value_simple[],8,FALSE)</f>
        <v>1.2513837810169224</v>
      </c>
      <c r="D370" s="5">
        <f t="shared" si="17"/>
        <v>248432.87982788752</v>
      </c>
      <c r="E370">
        <v>190000</v>
      </c>
      <c r="F370" s="4">
        <f t="shared" si="16"/>
        <v>0.30754147277835536</v>
      </c>
    </row>
    <row r="371" spans="1:6" x14ac:dyDescent="0.5">
      <c r="A371" s="3">
        <v>43987</v>
      </c>
      <c r="B371" s="2">
        <v>198526.53006737985</v>
      </c>
      <c r="C371" s="6">
        <f>VLOOKUP(A371,fund_value_simple[],8,FALSE)</f>
        <v>1.2582156834952847</v>
      </c>
      <c r="D371" s="5">
        <f t="shared" si="17"/>
        <v>249789.19372067551</v>
      </c>
      <c r="E371">
        <v>190000</v>
      </c>
      <c r="F371" s="4">
        <f t="shared" ref="F371:F389" si="18">(D371-E371)/E371</f>
        <v>0.31467996695092376</v>
      </c>
    </row>
    <row r="372" spans="1:6" x14ac:dyDescent="0.5">
      <c r="A372" s="3">
        <v>43990</v>
      </c>
      <c r="B372" s="2">
        <v>198526.53006737985</v>
      </c>
      <c r="C372" s="6">
        <f>VLOOKUP(A372,fund_value_simple[],8,FALSE)</f>
        <v>1.2490339102468897</v>
      </c>
      <c r="D372" s="5">
        <f t="shared" si="17"/>
        <v>247966.36813780616</v>
      </c>
      <c r="E372">
        <v>190000</v>
      </c>
      <c r="F372" s="4">
        <f t="shared" si="18"/>
        <v>0.30508614809371665</v>
      </c>
    </row>
    <row r="373" spans="1:6" x14ac:dyDescent="0.5">
      <c r="A373" s="3">
        <v>43991</v>
      </c>
      <c r="B373" s="2">
        <v>198526.53006737985</v>
      </c>
      <c r="C373" s="6">
        <f>VLOOKUP(A373,fund_value_simple[],8,FALSE)</f>
        <v>1.2623721895931383</v>
      </c>
      <c r="D373" s="5">
        <f t="shared" si="17"/>
        <v>250614.37045348631</v>
      </c>
      <c r="E373">
        <v>190000</v>
      </c>
      <c r="F373" s="4">
        <f t="shared" si="18"/>
        <v>0.31902300238677006</v>
      </c>
    </row>
    <row r="374" spans="1:6" x14ac:dyDescent="0.5">
      <c r="A374" s="3">
        <v>43992</v>
      </c>
      <c r="B374" s="2">
        <v>198526.53006737985</v>
      </c>
      <c r="C374" s="6">
        <f>VLOOKUP(A374,fund_value_simple[],8,FALSE)</f>
        <v>1.2754490517276387</v>
      </c>
      <c r="D374" s="5">
        <f t="shared" si="17"/>
        <v>253210.47451721819</v>
      </c>
      <c r="E374">
        <v>190000</v>
      </c>
      <c r="F374" s="4">
        <f t="shared" si="18"/>
        <v>0.33268670798535888</v>
      </c>
    </row>
    <row r="375" spans="1:6" x14ac:dyDescent="0.5">
      <c r="A375" s="3">
        <v>43993</v>
      </c>
      <c r="B375" s="2">
        <v>198526.53006737985</v>
      </c>
      <c r="C375" s="6">
        <f>VLOOKUP(A375,fund_value_simple[],8,FALSE)</f>
        <v>1.2795072492748412</v>
      </c>
      <c r="D375" s="5">
        <f t="shared" si="17"/>
        <v>254016.13439459223</v>
      </c>
      <c r="E375">
        <v>190000</v>
      </c>
      <c r="F375" s="4">
        <f t="shared" si="18"/>
        <v>0.33692702312943279</v>
      </c>
    </row>
    <row r="376" spans="1:6" x14ac:dyDescent="0.5">
      <c r="A376" s="3">
        <v>43994</v>
      </c>
      <c r="B376" s="2">
        <v>198526.53006737985</v>
      </c>
      <c r="C376" s="6">
        <f>VLOOKUP(A376,fund_value_simple[],8,FALSE)</f>
        <v>1.2913851945653263</v>
      </c>
      <c r="D376" s="5">
        <f t="shared" si="17"/>
        <v>256374.22165744242</v>
      </c>
      <c r="E376">
        <v>190000</v>
      </c>
      <c r="F376" s="4">
        <f t="shared" si="18"/>
        <v>0.34933800872338117</v>
      </c>
    </row>
    <row r="377" spans="1:6" x14ac:dyDescent="0.5">
      <c r="A377" s="3">
        <v>43997</v>
      </c>
      <c r="B377" s="2">
        <v>198526.53006737985</v>
      </c>
      <c r="C377" s="6">
        <f>VLOOKUP(A377,fund_value_simple[],8,FALSE)</f>
        <v>1.2869354503513224</v>
      </c>
      <c r="D377" s="5">
        <f t="shared" si="17"/>
        <v>255490.82937894884</v>
      </c>
      <c r="E377">
        <v>190000</v>
      </c>
      <c r="F377" s="4">
        <f t="shared" si="18"/>
        <v>0.34468857567867811</v>
      </c>
    </row>
    <row r="378" spans="1:6" x14ac:dyDescent="0.5">
      <c r="A378" s="3">
        <v>43998</v>
      </c>
      <c r="B378" s="2">
        <v>198526.53006737985</v>
      </c>
      <c r="C378" s="6">
        <f>VLOOKUP(A378,fund_value_simple[],8,FALSE)</f>
        <v>1.312562508981026</v>
      </c>
      <c r="D378" s="5">
        <f t="shared" si="17"/>
        <v>260578.4804045372</v>
      </c>
      <c r="E378">
        <v>190000</v>
      </c>
      <c r="F378" s="4">
        <f t="shared" si="18"/>
        <v>0.37146568633966948</v>
      </c>
    </row>
    <row r="379" spans="1:6" x14ac:dyDescent="0.5">
      <c r="A379" s="3">
        <v>43999</v>
      </c>
      <c r="B379" s="2">
        <v>198526.53006737985</v>
      </c>
      <c r="C379" s="6">
        <f>VLOOKUP(A379,fund_value_simple[],8,FALSE)</f>
        <v>1.3097448938133034</v>
      </c>
      <c r="D379" s="5">
        <f t="shared" si="17"/>
        <v>260019.10904222401</v>
      </c>
      <c r="E379">
        <v>190000</v>
      </c>
      <c r="F379" s="4">
        <f t="shared" si="18"/>
        <v>0.36852162653802112</v>
      </c>
    </row>
    <row r="380" spans="1:6" x14ac:dyDescent="0.5">
      <c r="A380" s="3">
        <v>44000</v>
      </c>
      <c r="B380" s="2">
        <v>198526.53006737985</v>
      </c>
      <c r="C380" s="6">
        <f>VLOOKUP(A380,fund_value_simple[],8,FALSE)</f>
        <v>1.3181977393164712</v>
      </c>
      <c r="D380" s="5">
        <f t="shared" si="17"/>
        <v>261697.22312916355</v>
      </c>
      <c r="E380">
        <v>190000</v>
      </c>
      <c r="F380" s="4">
        <f t="shared" si="18"/>
        <v>0.37735380594296608</v>
      </c>
    </row>
    <row r="381" spans="1:6" x14ac:dyDescent="0.5">
      <c r="A381" s="3">
        <v>44001</v>
      </c>
      <c r="B381" s="2">
        <v>198526.53006737985</v>
      </c>
      <c r="C381" s="6">
        <f>VLOOKUP(A381,fund_value_simple[],8,FALSE)</f>
        <v>1.3511911337669433</v>
      </c>
      <c r="D381" s="5">
        <f t="shared" si="17"/>
        <v>268247.28724456014</v>
      </c>
      <c r="E381">
        <v>190000</v>
      </c>
      <c r="F381" s="4">
        <f t="shared" si="18"/>
        <v>0.41182782760294812</v>
      </c>
    </row>
    <row r="382" spans="1:6" x14ac:dyDescent="0.5">
      <c r="A382" s="3">
        <v>44004</v>
      </c>
      <c r="B382" s="2">
        <v>198526.53006737985</v>
      </c>
      <c r="C382" s="6">
        <f>VLOOKUP(A382,fund_value_simple[],8,FALSE)</f>
        <v>1.3691305059999022</v>
      </c>
      <c r="D382" s="5">
        <f t="shared" ref="D382:D389" si="19">B382*C382</f>
        <v>271808.72856555658</v>
      </c>
      <c r="E382">
        <v>190000</v>
      </c>
      <c r="F382" s="4">
        <f t="shared" si="18"/>
        <v>0.43057225560819251</v>
      </c>
    </row>
    <row r="383" spans="1:6" x14ac:dyDescent="0.5">
      <c r="A383" s="3">
        <v>44005</v>
      </c>
      <c r="B383" s="2">
        <v>198526.53006737985</v>
      </c>
      <c r="C383" s="6">
        <f>VLOOKUP(A383,fund_value_simple[],8,FALSE)</f>
        <v>1.3947546408173752</v>
      </c>
      <c r="D383" s="5">
        <f t="shared" si="19"/>
        <v>276895.79913684825</v>
      </c>
      <c r="E383">
        <v>190000</v>
      </c>
      <c r="F383" s="4">
        <f t="shared" si="18"/>
        <v>0.45734631124656971</v>
      </c>
    </row>
    <row r="384" spans="1:6" x14ac:dyDescent="0.5">
      <c r="A384" s="3">
        <v>44006</v>
      </c>
      <c r="B384" s="2">
        <v>198526.53006737985</v>
      </c>
      <c r="C384" s="6">
        <f>VLOOKUP(A384,fund_value_simple[],8,FALSE)</f>
        <v>1.3912209907887547</v>
      </c>
      <c r="D384" s="5">
        <f t="shared" si="19"/>
        <v>276194.27585819369</v>
      </c>
      <c r="E384">
        <v>190000</v>
      </c>
      <c r="F384" s="4">
        <f t="shared" si="18"/>
        <v>0.45365408346417735</v>
      </c>
    </row>
    <row r="385" spans="1:6" x14ac:dyDescent="0.5">
      <c r="A385" s="3">
        <v>44011</v>
      </c>
      <c r="B385" s="2">
        <v>236513.66315446136</v>
      </c>
      <c r="C385" s="6">
        <f>VLOOKUP(A385,fund_value_simple[],8,FALSE)</f>
        <v>1.3822179191255946</v>
      </c>
      <c r="D385" s="5">
        <f t="shared" si="19"/>
        <v>326913.42333013139</v>
      </c>
      <c r="E385">
        <v>240000</v>
      </c>
      <c r="F385" s="4">
        <f t="shared" si="18"/>
        <v>0.36213926387554746</v>
      </c>
    </row>
    <row r="386" spans="1:6" x14ac:dyDescent="0.5">
      <c r="A386" s="3">
        <v>44012</v>
      </c>
      <c r="B386" s="2">
        <v>236513.66315446136</v>
      </c>
      <c r="C386" s="6">
        <f>VLOOKUP(A386,fund_value_simple[],8,FALSE)</f>
        <v>1.4198870573336615</v>
      </c>
      <c r="D386" s="5">
        <f t="shared" si="19"/>
        <v>335822.689195593</v>
      </c>
      <c r="E386">
        <v>240000</v>
      </c>
      <c r="F386" s="4">
        <f t="shared" si="18"/>
        <v>0.39926120498163753</v>
      </c>
    </row>
    <row r="387" spans="1:6" x14ac:dyDescent="0.5">
      <c r="A387" s="3">
        <v>44013</v>
      </c>
      <c r="B387" s="2">
        <v>236513.66315446136</v>
      </c>
      <c r="C387" s="6">
        <f>VLOOKUP(A387,fund_value_simple[],8,FALSE)</f>
        <v>1.4045472967671047</v>
      </c>
      <c r="D387" s="5">
        <f t="shared" si="19"/>
        <v>332194.62623208429</v>
      </c>
      <c r="E387">
        <v>240000</v>
      </c>
      <c r="F387" s="4">
        <f t="shared" si="18"/>
        <v>0.38414427596701789</v>
      </c>
    </row>
    <row r="388" spans="1:6" x14ac:dyDescent="0.5">
      <c r="A388" s="3">
        <v>44014</v>
      </c>
      <c r="B388" s="2">
        <v>236513.66315446136</v>
      </c>
      <c r="C388" s="6">
        <f>VLOOKUP(A388,fund_value_simple[],8,FALSE)</f>
        <v>1.4131176275002175</v>
      </c>
      <c r="D388" s="5">
        <f t="shared" si="19"/>
        <v>334221.62654821808</v>
      </c>
      <c r="E388">
        <v>240000</v>
      </c>
      <c r="F388" s="4">
        <f t="shared" si="18"/>
        <v>0.39259011061757532</v>
      </c>
    </row>
    <row r="389" spans="1:6" x14ac:dyDescent="0.5">
      <c r="A389" s="3">
        <v>44015</v>
      </c>
      <c r="B389" s="2">
        <v>236513.66315446136</v>
      </c>
      <c r="C389" s="6">
        <f>VLOOKUP(A389,fund_value_simple[],8,FALSE)</f>
        <v>1.4334057255529946</v>
      </c>
      <c r="D389" s="5">
        <f t="shared" si="19"/>
        <v>339020.03893711726</v>
      </c>
      <c r="E389">
        <v>240000</v>
      </c>
      <c r="F389" s="4">
        <f t="shared" si="18"/>
        <v>0.41258349557132196</v>
      </c>
    </row>
    <row r="390" spans="1:6" x14ac:dyDescent="0.5">
      <c r="A390" s="3">
        <v>44018</v>
      </c>
      <c r="B390" s="2">
        <v>236513.66315446136</v>
      </c>
      <c r="C390" s="6">
        <f>VLOOKUP(A390,fund_value_simple[],8,FALSE)</f>
        <v>1.4800802493706995</v>
      </c>
      <c r="D390" s="5">
        <f t="shared" ref="D390:D395" si="20">B390*C390</f>
        <v>350059.20154123282</v>
      </c>
      <c r="E390">
        <v>240000</v>
      </c>
      <c r="F390" s="4">
        <f t="shared" ref="F390:F395" si="21">(D390-E390)/E390</f>
        <v>0.45858000642180341</v>
      </c>
    </row>
    <row r="391" spans="1:6" x14ac:dyDescent="0.5">
      <c r="A391" s="3">
        <v>44019</v>
      </c>
      <c r="B391" s="2">
        <v>236513.66315446136</v>
      </c>
      <c r="C391" s="6">
        <f>VLOOKUP(A391,fund_value_simple[],8,FALSE)</f>
        <v>1.5147757769573238</v>
      </c>
      <c r="D391" s="5">
        <f t="shared" si="20"/>
        <v>358265.16786582198</v>
      </c>
      <c r="E391">
        <v>240000</v>
      </c>
      <c r="F391" s="4">
        <f t="shared" si="21"/>
        <v>0.49277153277425823</v>
      </c>
    </row>
    <row r="392" spans="1:6" x14ac:dyDescent="0.5">
      <c r="A392" s="3">
        <v>44020</v>
      </c>
      <c r="B392" s="2">
        <v>236513.66315446136</v>
      </c>
      <c r="C392" s="6">
        <f>VLOOKUP(A392,fund_value_simple[],8,FALSE)</f>
        <v>1.5745184164407169</v>
      </c>
      <c r="D392" s="5">
        <f t="shared" si="20"/>
        <v>372395.11837655562</v>
      </c>
      <c r="E392">
        <v>240000</v>
      </c>
      <c r="F392" s="4">
        <f t="shared" si="21"/>
        <v>0.55164632656898172</v>
      </c>
    </row>
    <row r="393" spans="1:6" x14ac:dyDescent="0.5">
      <c r="A393" s="3">
        <v>44021</v>
      </c>
      <c r="B393" s="2">
        <v>236513.66315446136</v>
      </c>
      <c r="C393" s="6">
        <f>VLOOKUP(A393,fund_value_simple[],8,FALSE)</f>
        <v>1.6133379125449046</v>
      </c>
      <c r="D393" s="5">
        <f t="shared" si="20"/>
        <v>381576.45960196742</v>
      </c>
      <c r="E393">
        <v>240000</v>
      </c>
      <c r="F393" s="4">
        <f t="shared" si="21"/>
        <v>0.58990191500819755</v>
      </c>
    </row>
    <row r="394" spans="1:6" x14ac:dyDescent="0.5">
      <c r="A394" s="3">
        <v>44022</v>
      </c>
      <c r="B394" s="2">
        <v>236513.66315446136</v>
      </c>
      <c r="C394" s="6">
        <f>VLOOKUP(A394,fund_value_simple[],8,FALSE)</f>
        <v>1.6226035473978175</v>
      </c>
      <c r="D394" s="5">
        <f t="shared" si="20"/>
        <v>383767.9088424815</v>
      </c>
      <c r="E394">
        <v>240000</v>
      </c>
      <c r="F394" s="4">
        <f t="shared" si="21"/>
        <v>0.59903295351033958</v>
      </c>
    </row>
    <row r="395" spans="1:6" x14ac:dyDescent="0.5">
      <c r="A395" s="3">
        <v>44025</v>
      </c>
      <c r="B395" s="2">
        <v>236513.66315446136</v>
      </c>
      <c r="C395" s="6">
        <f>VLOOKUP(A395,fund_value_simple[],8,FALSE)</f>
        <v>1.6997234314325376</v>
      </c>
      <c r="D395" s="5">
        <f t="shared" si="20"/>
        <v>402007.81511758041</v>
      </c>
      <c r="E395">
        <v>240000</v>
      </c>
      <c r="F395" s="4">
        <f t="shared" si="21"/>
        <v>0.67503256298991832</v>
      </c>
    </row>
  </sheetData>
  <phoneticPr fontId="2" type="noConversion"/>
  <pageMargins left="0.70866141732283472" right="0.70866141732283472" top="0.74803149606299213" bottom="0.74803149606299213" header="0.31496062992125984" footer="0.31496062992125984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B762C-1CF5-4639-848F-A23ED8F1FF9F}">
  <dimension ref="A1:H629"/>
  <sheetViews>
    <sheetView topLeftCell="A2" workbookViewId="0">
      <selection activeCell="D16" sqref="D16"/>
    </sheetView>
  </sheetViews>
  <sheetFormatPr defaultRowHeight="14.1" x14ac:dyDescent="0.5"/>
  <cols>
    <col min="1" max="1" width="10.75" bestFit="1" customWidth="1"/>
    <col min="2" max="2" width="12" bestFit="1" customWidth="1"/>
    <col min="3" max="3" width="10.94921875" bestFit="1" customWidth="1"/>
    <col min="4" max="4" width="10.5" bestFit="1" customWidth="1"/>
    <col min="5" max="5" width="12" bestFit="1" customWidth="1"/>
    <col min="6" max="6" width="13" bestFit="1" customWidth="1"/>
    <col min="7" max="8" width="12" bestFit="1" customWidth="1"/>
  </cols>
  <sheetData>
    <row r="1" spans="1:8" x14ac:dyDescent="0.5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</row>
    <row r="2" spans="1:8" x14ac:dyDescent="0.5">
      <c r="A2" s="1">
        <v>43080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1</v>
      </c>
    </row>
    <row r="3" spans="1:8" x14ac:dyDescent="0.5">
      <c r="A3" s="1">
        <v>43081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1</v>
      </c>
    </row>
    <row r="4" spans="1:8" x14ac:dyDescent="0.5">
      <c r="A4" s="1">
        <v>43082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1</v>
      </c>
    </row>
    <row r="5" spans="1:8" x14ac:dyDescent="0.5">
      <c r="A5" s="1">
        <v>43083</v>
      </c>
      <c r="B5">
        <v>141133.4</v>
      </c>
      <c r="C5">
        <v>0</v>
      </c>
      <c r="D5">
        <v>140833.97</v>
      </c>
      <c r="E5">
        <v>141133.4</v>
      </c>
      <c r="F5">
        <v>140833.97</v>
      </c>
      <c r="G5">
        <v>140833.97</v>
      </c>
      <c r="H5">
        <v>1.0021261205659402</v>
      </c>
    </row>
    <row r="6" spans="1:8" x14ac:dyDescent="0.5">
      <c r="A6" s="1">
        <v>43084</v>
      </c>
      <c r="B6">
        <v>139265</v>
      </c>
      <c r="C6">
        <v>0</v>
      </c>
      <c r="D6">
        <v>0</v>
      </c>
      <c r="E6">
        <v>139265</v>
      </c>
      <c r="F6">
        <v>0</v>
      </c>
      <c r="G6">
        <v>140833.97</v>
      </c>
      <c r="H6">
        <v>0.98885943497864892</v>
      </c>
    </row>
    <row r="7" spans="1:8" x14ac:dyDescent="0.5">
      <c r="A7" s="1">
        <v>43087</v>
      </c>
      <c r="B7">
        <v>139299.6</v>
      </c>
      <c r="C7">
        <v>0</v>
      </c>
      <c r="D7">
        <v>0</v>
      </c>
      <c r="E7">
        <v>139299.6</v>
      </c>
      <c r="F7">
        <v>0</v>
      </c>
      <c r="G7">
        <v>140833.97</v>
      </c>
      <c r="H7">
        <v>0.9891051143413766</v>
      </c>
    </row>
    <row r="8" spans="1:8" x14ac:dyDescent="0.5">
      <c r="A8" s="1">
        <v>43088</v>
      </c>
      <c r="B8">
        <v>141133.4</v>
      </c>
      <c r="C8">
        <v>0</v>
      </c>
      <c r="D8">
        <v>0</v>
      </c>
      <c r="E8">
        <v>141133.4</v>
      </c>
      <c r="F8">
        <v>0</v>
      </c>
      <c r="G8">
        <v>140833.97</v>
      </c>
      <c r="H8">
        <v>1.0021261205659402</v>
      </c>
    </row>
    <row r="9" spans="1:8" x14ac:dyDescent="0.5">
      <c r="A9" s="1">
        <v>43089</v>
      </c>
      <c r="B9">
        <v>140822</v>
      </c>
      <c r="C9">
        <v>0</v>
      </c>
      <c r="D9">
        <v>0</v>
      </c>
      <c r="E9">
        <v>140822</v>
      </c>
      <c r="F9">
        <v>0</v>
      </c>
      <c r="G9">
        <v>140833.97</v>
      </c>
      <c r="H9">
        <v>0.99991500630139163</v>
      </c>
    </row>
    <row r="10" spans="1:8" x14ac:dyDescent="0.5">
      <c r="A10" s="1">
        <v>43090</v>
      </c>
      <c r="B10">
        <v>142552</v>
      </c>
      <c r="C10">
        <v>0</v>
      </c>
      <c r="D10">
        <v>0</v>
      </c>
      <c r="E10">
        <v>142552</v>
      </c>
      <c r="F10">
        <v>0</v>
      </c>
      <c r="G10">
        <v>140833.97</v>
      </c>
      <c r="H10">
        <v>1.0121989744377724</v>
      </c>
    </row>
    <row r="11" spans="1:8" x14ac:dyDescent="0.5">
      <c r="A11" s="1">
        <v>43091</v>
      </c>
      <c r="B11">
        <v>141894.6</v>
      </c>
      <c r="C11">
        <v>0</v>
      </c>
      <c r="D11">
        <v>0</v>
      </c>
      <c r="E11">
        <v>141894.6</v>
      </c>
      <c r="F11">
        <v>0</v>
      </c>
      <c r="G11">
        <v>140833.97</v>
      </c>
      <c r="H11">
        <v>1.0075310665459478</v>
      </c>
    </row>
    <row r="12" spans="1:8" x14ac:dyDescent="0.5">
      <c r="A12" s="1">
        <v>43094</v>
      </c>
      <c r="B12">
        <v>141237.19999999998</v>
      </c>
      <c r="C12">
        <v>0</v>
      </c>
      <c r="D12">
        <v>0</v>
      </c>
      <c r="E12">
        <v>141237.19999999998</v>
      </c>
      <c r="F12">
        <v>0</v>
      </c>
      <c r="G12">
        <v>140833.97</v>
      </c>
      <c r="H12">
        <v>1.0028631586541228</v>
      </c>
    </row>
    <row r="13" spans="1:8" x14ac:dyDescent="0.5">
      <c r="A13" s="1">
        <v>43095</v>
      </c>
      <c r="B13">
        <v>141652.4</v>
      </c>
      <c r="C13">
        <v>0</v>
      </c>
      <c r="D13">
        <v>0</v>
      </c>
      <c r="E13">
        <v>141652.4</v>
      </c>
      <c r="F13">
        <v>0</v>
      </c>
      <c r="G13">
        <v>140833.97</v>
      </c>
      <c r="H13">
        <v>1.0058113110068543</v>
      </c>
    </row>
    <row r="14" spans="1:8" x14ac:dyDescent="0.5">
      <c r="A14" s="1">
        <v>43096</v>
      </c>
      <c r="B14">
        <v>139299.6</v>
      </c>
      <c r="C14">
        <v>0</v>
      </c>
      <c r="D14">
        <v>0</v>
      </c>
      <c r="E14">
        <v>139299.6</v>
      </c>
      <c r="F14">
        <v>0</v>
      </c>
      <c r="G14">
        <v>140833.97</v>
      </c>
      <c r="H14">
        <v>0.9891051143413766</v>
      </c>
    </row>
    <row r="15" spans="1:8" x14ac:dyDescent="0.5">
      <c r="A15" s="1">
        <v>43097</v>
      </c>
      <c r="B15">
        <v>140579.79999999999</v>
      </c>
      <c r="C15">
        <v>0</v>
      </c>
      <c r="D15">
        <v>0</v>
      </c>
      <c r="E15">
        <v>140579.79999999999</v>
      </c>
      <c r="F15">
        <v>0</v>
      </c>
      <c r="G15">
        <v>140833.97</v>
      </c>
      <c r="H15">
        <v>0.9981952507622982</v>
      </c>
    </row>
    <row r="16" spans="1:8" x14ac:dyDescent="0.5">
      <c r="A16" s="1">
        <v>43098</v>
      </c>
      <c r="B16">
        <v>141029.6</v>
      </c>
      <c r="C16">
        <v>0</v>
      </c>
      <c r="D16">
        <v>0</v>
      </c>
      <c r="E16">
        <v>141029.6</v>
      </c>
      <c r="F16">
        <v>0</v>
      </c>
      <c r="G16">
        <v>140833.97</v>
      </c>
      <c r="H16">
        <v>1.0013890824777574</v>
      </c>
    </row>
    <row r="17" spans="1:8" x14ac:dyDescent="0.5">
      <c r="A17" s="1">
        <v>43102</v>
      </c>
      <c r="B17">
        <v>143105.60000000001</v>
      </c>
      <c r="C17">
        <v>0</v>
      </c>
      <c r="D17">
        <v>0</v>
      </c>
      <c r="E17">
        <v>143105.60000000001</v>
      </c>
      <c r="F17">
        <v>0</v>
      </c>
      <c r="G17">
        <v>140833.97</v>
      </c>
      <c r="H17">
        <v>1.0161298442414142</v>
      </c>
    </row>
    <row r="18" spans="1:8" x14ac:dyDescent="0.5">
      <c r="A18" s="1">
        <v>43103</v>
      </c>
      <c r="B18">
        <v>163825.20000000001</v>
      </c>
      <c r="C18">
        <v>40.409999999999854</v>
      </c>
      <c r="D18">
        <v>20000</v>
      </c>
      <c r="E18">
        <v>163865.61000000002</v>
      </c>
      <c r="F18">
        <v>19682.523954338616</v>
      </c>
      <c r="G18">
        <v>160516.49395433863</v>
      </c>
      <c r="H18">
        <v>1.0208646224643687</v>
      </c>
    </row>
    <row r="19" spans="1:8" x14ac:dyDescent="0.5">
      <c r="A19" s="1">
        <v>43104</v>
      </c>
      <c r="B19">
        <v>164337.40000000002</v>
      </c>
      <c r="C19">
        <v>40.409999999999854</v>
      </c>
      <c r="D19">
        <v>0</v>
      </c>
      <c r="E19">
        <v>164377.81000000003</v>
      </c>
      <c r="F19">
        <v>0</v>
      </c>
      <c r="G19">
        <v>160516.49395433863</v>
      </c>
      <c r="H19">
        <v>1.0240555718016107</v>
      </c>
    </row>
    <row r="20" spans="1:8" x14ac:dyDescent="0.5">
      <c r="A20" s="1">
        <v>43105</v>
      </c>
      <c r="B20">
        <v>164967.80000000002</v>
      </c>
      <c r="C20">
        <v>40.409999999999854</v>
      </c>
      <c r="D20">
        <v>0</v>
      </c>
      <c r="E20">
        <v>165008.21000000002</v>
      </c>
      <c r="F20">
        <v>0</v>
      </c>
      <c r="G20">
        <v>160516.49395433863</v>
      </c>
      <c r="H20">
        <v>1.0279828940628315</v>
      </c>
    </row>
    <row r="21" spans="1:8" x14ac:dyDescent="0.5">
      <c r="A21" s="1">
        <v>43108</v>
      </c>
      <c r="B21">
        <v>165637.59999999998</v>
      </c>
      <c r="C21">
        <v>40.409999999999854</v>
      </c>
      <c r="D21">
        <v>0</v>
      </c>
      <c r="E21">
        <v>165678.00999999998</v>
      </c>
      <c r="F21">
        <v>0</v>
      </c>
      <c r="G21">
        <v>160516.49395433863</v>
      </c>
      <c r="H21">
        <v>1.0321556739653783</v>
      </c>
    </row>
    <row r="22" spans="1:8" x14ac:dyDescent="0.5">
      <c r="A22" s="1">
        <v>43109</v>
      </c>
      <c r="B22">
        <v>166977.20000000001</v>
      </c>
      <c r="C22">
        <v>40.409999999999854</v>
      </c>
      <c r="D22">
        <v>0</v>
      </c>
      <c r="E22">
        <v>167017.61000000002</v>
      </c>
      <c r="F22">
        <v>0</v>
      </c>
      <c r="G22">
        <v>160516.49395433863</v>
      </c>
      <c r="H22">
        <v>1.0405012337704731</v>
      </c>
    </row>
    <row r="23" spans="1:8" x14ac:dyDescent="0.5">
      <c r="A23" s="1">
        <v>43110</v>
      </c>
      <c r="B23">
        <v>167686.40000000002</v>
      </c>
      <c r="C23">
        <v>40.409999999999854</v>
      </c>
      <c r="D23">
        <v>0</v>
      </c>
      <c r="E23">
        <v>167726.81000000003</v>
      </c>
      <c r="F23">
        <v>0</v>
      </c>
      <c r="G23">
        <v>160516.49395433863</v>
      </c>
      <c r="H23">
        <v>1.0449194713143466</v>
      </c>
    </row>
    <row r="24" spans="1:8" x14ac:dyDescent="0.5">
      <c r="A24" s="1">
        <v>43111</v>
      </c>
      <c r="B24">
        <v>167450</v>
      </c>
      <c r="C24">
        <v>40.409999999999854</v>
      </c>
      <c r="D24">
        <v>0</v>
      </c>
      <c r="E24">
        <v>167490.41</v>
      </c>
      <c r="F24">
        <v>0</v>
      </c>
      <c r="G24">
        <v>160516.49395433863</v>
      </c>
      <c r="H24">
        <v>1.0434467254663886</v>
      </c>
    </row>
    <row r="25" spans="1:8" x14ac:dyDescent="0.5">
      <c r="A25" s="1">
        <v>43112</v>
      </c>
      <c r="B25">
        <v>168356.19999999998</v>
      </c>
      <c r="C25">
        <v>40.409999999999854</v>
      </c>
      <c r="D25">
        <v>0</v>
      </c>
      <c r="E25">
        <v>168396.61</v>
      </c>
      <c r="F25">
        <v>0</v>
      </c>
      <c r="G25">
        <v>160516.49395433863</v>
      </c>
      <c r="H25">
        <v>1.0490922512168934</v>
      </c>
    </row>
    <row r="26" spans="1:8" x14ac:dyDescent="0.5">
      <c r="A26" s="1">
        <v>43115</v>
      </c>
      <c r="B26">
        <v>168041</v>
      </c>
      <c r="C26">
        <v>40.409999999999854</v>
      </c>
      <c r="D26">
        <v>0</v>
      </c>
      <c r="E26">
        <v>168081.41</v>
      </c>
      <c r="F26">
        <v>0</v>
      </c>
      <c r="G26">
        <v>160516.49395433863</v>
      </c>
      <c r="H26">
        <v>1.0471285900862832</v>
      </c>
    </row>
    <row r="27" spans="1:8" x14ac:dyDescent="0.5">
      <c r="A27" s="1">
        <v>43116</v>
      </c>
      <c r="B27">
        <v>169735.19999999998</v>
      </c>
      <c r="C27">
        <v>40.409999999999854</v>
      </c>
      <c r="D27">
        <v>0</v>
      </c>
      <c r="E27">
        <v>169775.61</v>
      </c>
      <c r="F27">
        <v>0</v>
      </c>
      <c r="G27">
        <v>160516.49395433863</v>
      </c>
      <c r="H27">
        <v>1.0576832686633142</v>
      </c>
    </row>
    <row r="28" spans="1:8" x14ac:dyDescent="0.5">
      <c r="A28" s="1">
        <v>43117</v>
      </c>
      <c r="B28">
        <v>169223</v>
      </c>
      <c r="C28">
        <v>40.409999999999854</v>
      </c>
      <c r="D28">
        <v>0</v>
      </c>
      <c r="E28">
        <v>169263.41</v>
      </c>
      <c r="F28">
        <v>0</v>
      </c>
      <c r="G28">
        <v>160516.49395433863</v>
      </c>
      <c r="H28">
        <v>1.0544923193260722</v>
      </c>
    </row>
    <row r="29" spans="1:8" x14ac:dyDescent="0.5">
      <c r="A29" s="1">
        <v>43118</v>
      </c>
      <c r="B29">
        <v>190212.00000000003</v>
      </c>
      <c r="C29">
        <v>144.04000000000087</v>
      </c>
      <c r="D29">
        <v>20000</v>
      </c>
      <c r="E29">
        <v>190356.04000000004</v>
      </c>
      <c r="F29">
        <v>18966.472902127949</v>
      </c>
      <c r="G29">
        <v>179482.96685646658</v>
      </c>
      <c r="H29">
        <v>1.0605799722055447</v>
      </c>
    </row>
    <row r="30" spans="1:8" x14ac:dyDescent="0.5">
      <c r="A30" s="1">
        <v>43119</v>
      </c>
      <c r="B30">
        <v>190740</v>
      </c>
      <c r="C30">
        <v>144.04000000000087</v>
      </c>
      <c r="D30">
        <v>0</v>
      </c>
      <c r="E30">
        <v>190884.04</v>
      </c>
      <c r="F30">
        <v>0</v>
      </c>
      <c r="G30">
        <v>179482.96685646658</v>
      </c>
      <c r="H30">
        <v>1.0635217555360055</v>
      </c>
    </row>
    <row r="31" spans="1:8" x14ac:dyDescent="0.5">
      <c r="A31" s="1">
        <v>43122</v>
      </c>
      <c r="B31">
        <v>193160</v>
      </c>
      <c r="C31">
        <v>144.04000000000087</v>
      </c>
      <c r="D31">
        <v>0</v>
      </c>
      <c r="E31">
        <v>193304.04</v>
      </c>
      <c r="F31">
        <v>0</v>
      </c>
      <c r="G31">
        <v>179482.96685646658</v>
      </c>
      <c r="H31">
        <v>1.0770049291339507</v>
      </c>
    </row>
    <row r="32" spans="1:8" x14ac:dyDescent="0.5">
      <c r="A32" s="1">
        <v>43123</v>
      </c>
      <c r="B32">
        <v>193072</v>
      </c>
      <c r="C32">
        <v>144.04000000000087</v>
      </c>
      <c r="D32">
        <v>0</v>
      </c>
      <c r="E32">
        <v>193216.04</v>
      </c>
      <c r="F32">
        <v>0</v>
      </c>
      <c r="G32">
        <v>179482.96685646658</v>
      </c>
      <c r="H32">
        <v>1.0765146319122072</v>
      </c>
    </row>
    <row r="33" spans="1:8" x14ac:dyDescent="0.5">
      <c r="A33" s="1">
        <v>43124</v>
      </c>
      <c r="B33">
        <v>193204</v>
      </c>
      <c r="C33">
        <v>144.04000000000087</v>
      </c>
      <c r="D33">
        <v>0</v>
      </c>
      <c r="E33">
        <v>193348.04</v>
      </c>
      <c r="F33">
        <v>0</v>
      </c>
      <c r="G33">
        <v>179482.96685646658</v>
      </c>
      <c r="H33">
        <v>1.0772500777448224</v>
      </c>
    </row>
    <row r="34" spans="1:8" x14ac:dyDescent="0.5">
      <c r="A34" s="1">
        <v>43125</v>
      </c>
      <c r="B34">
        <v>191972.00000000003</v>
      </c>
      <c r="C34">
        <v>2168.0400000000009</v>
      </c>
      <c r="D34">
        <v>0</v>
      </c>
      <c r="E34">
        <v>194140.04000000004</v>
      </c>
      <c r="F34">
        <v>0</v>
      </c>
      <c r="G34">
        <v>179482.96685646658</v>
      </c>
      <c r="H34">
        <v>1.0816627527405138</v>
      </c>
    </row>
    <row r="35" spans="1:8" x14ac:dyDescent="0.5">
      <c r="A35" s="1">
        <v>43126</v>
      </c>
      <c r="B35">
        <v>192940</v>
      </c>
      <c r="C35">
        <v>2168.0400000000009</v>
      </c>
      <c r="D35">
        <v>0</v>
      </c>
      <c r="E35">
        <v>195108.04</v>
      </c>
      <c r="F35">
        <v>0</v>
      </c>
      <c r="G35">
        <v>179482.96685646658</v>
      </c>
      <c r="H35">
        <v>1.0870560221796917</v>
      </c>
    </row>
    <row r="36" spans="1:8" x14ac:dyDescent="0.5">
      <c r="A36" s="1">
        <v>43129</v>
      </c>
      <c r="B36">
        <v>189287.99999999997</v>
      </c>
      <c r="C36">
        <v>2168.0400000000009</v>
      </c>
      <c r="D36">
        <v>0</v>
      </c>
      <c r="E36">
        <v>191456.03999999998</v>
      </c>
      <c r="F36">
        <v>0</v>
      </c>
      <c r="G36">
        <v>179482.96685646658</v>
      </c>
      <c r="H36">
        <v>1.0667086874773377</v>
      </c>
    </row>
    <row r="37" spans="1:8" x14ac:dyDescent="0.5">
      <c r="A37" s="1">
        <v>43130</v>
      </c>
      <c r="B37">
        <v>187352</v>
      </c>
      <c r="C37">
        <v>2168.0400000000009</v>
      </c>
      <c r="D37">
        <v>0</v>
      </c>
      <c r="E37">
        <v>189520.04</v>
      </c>
      <c r="F37">
        <v>0</v>
      </c>
      <c r="G37">
        <v>179482.96685646658</v>
      </c>
      <c r="H37">
        <v>1.0559221485989816</v>
      </c>
    </row>
    <row r="38" spans="1:8" x14ac:dyDescent="0.5">
      <c r="A38" s="1">
        <v>43131</v>
      </c>
      <c r="B38">
        <v>187924</v>
      </c>
      <c r="C38">
        <v>22168.04</v>
      </c>
      <c r="D38">
        <v>20000</v>
      </c>
      <c r="E38">
        <v>210092.04</v>
      </c>
      <c r="F38">
        <v>18940.79030971781</v>
      </c>
      <c r="G38">
        <v>198423.7571661844</v>
      </c>
      <c r="H38">
        <v>1.0588048679273983</v>
      </c>
    </row>
    <row r="39" spans="1:8" x14ac:dyDescent="0.5">
      <c r="A39" s="1">
        <v>43132</v>
      </c>
      <c r="B39">
        <v>206536.70000000004</v>
      </c>
      <c r="C39">
        <v>2093.0200000000004</v>
      </c>
      <c r="D39">
        <v>0</v>
      </c>
      <c r="E39">
        <v>208629.72000000003</v>
      </c>
      <c r="F39">
        <v>0</v>
      </c>
      <c r="G39">
        <v>198423.7571661844</v>
      </c>
      <c r="H39">
        <v>1.0514351858848632</v>
      </c>
    </row>
    <row r="40" spans="1:8" x14ac:dyDescent="0.5">
      <c r="A40" s="1">
        <v>43133</v>
      </c>
      <c r="B40">
        <v>247511.79999999996</v>
      </c>
      <c r="C40">
        <v>-2602.59</v>
      </c>
      <c r="D40">
        <v>35000</v>
      </c>
      <c r="E40">
        <v>244909.20999999996</v>
      </c>
      <c r="F40">
        <v>33287.834067056472</v>
      </c>
      <c r="G40">
        <v>231711.59123324088</v>
      </c>
      <c r="H40">
        <v>1.0569570934993682</v>
      </c>
    </row>
    <row r="41" spans="1:8" x14ac:dyDescent="0.5">
      <c r="A41" s="1">
        <v>43136</v>
      </c>
      <c r="B41">
        <v>247247.7</v>
      </c>
      <c r="C41">
        <v>-2602.59</v>
      </c>
      <c r="D41">
        <v>0</v>
      </c>
      <c r="E41">
        <v>244645.11000000002</v>
      </c>
      <c r="F41">
        <v>0</v>
      </c>
      <c r="G41">
        <v>231711.59123324088</v>
      </c>
      <c r="H41">
        <v>1.0558173145241589</v>
      </c>
    </row>
    <row r="42" spans="1:8" x14ac:dyDescent="0.5">
      <c r="A42" s="1">
        <v>43137</v>
      </c>
      <c r="B42">
        <v>239608.19999999998</v>
      </c>
      <c r="C42">
        <v>-2602.59</v>
      </c>
      <c r="D42">
        <v>0</v>
      </c>
      <c r="E42">
        <v>237005.61</v>
      </c>
      <c r="F42">
        <v>0</v>
      </c>
      <c r="G42">
        <v>231711.59123324088</v>
      </c>
      <c r="H42">
        <v>1.0228474490144523</v>
      </c>
    </row>
    <row r="43" spans="1:8" x14ac:dyDescent="0.5">
      <c r="A43" s="1">
        <v>43138</v>
      </c>
      <c r="B43">
        <v>234879.7</v>
      </c>
      <c r="C43">
        <v>-2602.59</v>
      </c>
      <c r="D43">
        <v>0</v>
      </c>
      <c r="E43">
        <v>232277.11000000002</v>
      </c>
      <c r="F43">
        <v>0</v>
      </c>
      <c r="G43">
        <v>231711.59123324088</v>
      </c>
      <c r="H43">
        <v>1.0024406149202518</v>
      </c>
    </row>
    <row r="44" spans="1:8" x14ac:dyDescent="0.5">
      <c r="A44" s="1">
        <v>43139</v>
      </c>
      <c r="B44">
        <v>233606.49999999997</v>
      </c>
      <c r="C44">
        <v>-2602.59</v>
      </c>
      <c r="D44">
        <v>0</v>
      </c>
      <c r="E44">
        <v>231003.90999999997</v>
      </c>
      <c r="F44">
        <v>0</v>
      </c>
      <c r="G44">
        <v>231711.59123324088</v>
      </c>
      <c r="H44">
        <v>0.99694585312079376</v>
      </c>
    </row>
    <row r="45" spans="1:8" x14ac:dyDescent="0.5">
      <c r="A45" s="1">
        <v>43140</v>
      </c>
      <c r="B45">
        <v>223141.7</v>
      </c>
      <c r="C45">
        <v>-2602.59</v>
      </c>
      <c r="D45">
        <v>0</v>
      </c>
      <c r="E45">
        <v>220539.11000000002</v>
      </c>
      <c r="F45">
        <v>0</v>
      </c>
      <c r="G45">
        <v>231711.59123324088</v>
      </c>
      <c r="H45">
        <v>0.95178281253096808</v>
      </c>
    </row>
    <row r="46" spans="1:8" x14ac:dyDescent="0.5">
      <c r="A46" s="1">
        <v>43143</v>
      </c>
      <c r="B46">
        <v>247002</v>
      </c>
      <c r="C46">
        <v>-2774.2400000000016</v>
      </c>
      <c r="D46">
        <v>20000</v>
      </c>
      <c r="E46">
        <v>244227.76</v>
      </c>
      <c r="F46">
        <v>21013.197272197285</v>
      </c>
      <c r="G46">
        <v>252724.78850543816</v>
      </c>
      <c r="H46">
        <v>0.96637833369774362</v>
      </c>
    </row>
    <row r="47" spans="1:8" x14ac:dyDescent="0.5">
      <c r="A47" s="1">
        <v>43144</v>
      </c>
      <c r="B47">
        <v>249768.39999999997</v>
      </c>
      <c r="C47">
        <v>-2774.2400000000016</v>
      </c>
      <c r="D47">
        <v>0</v>
      </c>
      <c r="E47">
        <v>246994.15999999997</v>
      </c>
      <c r="F47">
        <v>0</v>
      </c>
      <c r="G47">
        <v>252724.78850543816</v>
      </c>
      <c r="H47">
        <v>0.97732462834640033</v>
      </c>
    </row>
    <row r="48" spans="1:8" x14ac:dyDescent="0.5">
      <c r="A48" s="1">
        <v>43145</v>
      </c>
      <c r="B48">
        <v>251780.90000000002</v>
      </c>
      <c r="C48">
        <v>-2774.2400000000016</v>
      </c>
      <c r="D48">
        <v>0</v>
      </c>
      <c r="E48">
        <v>249006.66000000003</v>
      </c>
      <c r="F48">
        <v>0</v>
      </c>
      <c r="G48">
        <v>252724.78850543816</v>
      </c>
      <c r="H48">
        <v>0.98528783611838644</v>
      </c>
    </row>
    <row r="49" spans="1:8" x14ac:dyDescent="0.5">
      <c r="A49" s="1">
        <v>43153</v>
      </c>
      <c r="B49">
        <v>256994.50000000003</v>
      </c>
      <c r="C49">
        <v>-2774.2400000000016</v>
      </c>
      <c r="D49">
        <v>0</v>
      </c>
      <c r="E49">
        <v>254220.26000000004</v>
      </c>
      <c r="F49">
        <v>0</v>
      </c>
      <c r="G49">
        <v>252724.78850543816</v>
      </c>
      <c r="H49">
        <v>1.0059173914177781</v>
      </c>
    </row>
    <row r="50" spans="1:8" x14ac:dyDescent="0.5">
      <c r="A50" s="1">
        <v>43154</v>
      </c>
      <c r="B50">
        <v>258237.00000000006</v>
      </c>
      <c r="C50">
        <v>-2774.2400000000016</v>
      </c>
      <c r="D50">
        <v>0</v>
      </c>
      <c r="E50">
        <v>255462.76000000007</v>
      </c>
      <c r="F50">
        <v>0</v>
      </c>
      <c r="G50">
        <v>252724.78850543816</v>
      </c>
      <c r="H50">
        <v>1.0108338066509175</v>
      </c>
    </row>
    <row r="51" spans="1:8" x14ac:dyDescent="0.5">
      <c r="A51" s="1">
        <v>43157</v>
      </c>
      <c r="B51">
        <v>262091.9</v>
      </c>
      <c r="C51">
        <v>-2774.2400000000016</v>
      </c>
      <c r="D51">
        <v>0</v>
      </c>
      <c r="E51">
        <v>259317.66</v>
      </c>
      <c r="F51">
        <v>0</v>
      </c>
      <c r="G51">
        <v>252724.78850543816</v>
      </c>
      <c r="H51">
        <v>1.0260871580249438</v>
      </c>
    </row>
    <row r="52" spans="1:8" x14ac:dyDescent="0.5">
      <c r="A52" s="1">
        <v>43158</v>
      </c>
      <c r="B52">
        <v>258729.09999999998</v>
      </c>
      <c r="C52">
        <v>-2774.2400000000016</v>
      </c>
      <c r="D52">
        <v>0</v>
      </c>
      <c r="E52">
        <v>255954.86</v>
      </c>
      <c r="F52">
        <v>0</v>
      </c>
      <c r="G52">
        <v>252724.78850543816</v>
      </c>
      <c r="H52">
        <v>1.01278098406438</v>
      </c>
    </row>
    <row r="53" spans="1:8" x14ac:dyDescent="0.5">
      <c r="A53" s="1">
        <v>43159</v>
      </c>
      <c r="B53">
        <v>256531.8</v>
      </c>
      <c r="C53">
        <v>-2774.2400000000016</v>
      </c>
      <c r="D53">
        <v>0</v>
      </c>
      <c r="E53">
        <v>253757.56</v>
      </c>
      <c r="F53">
        <v>0</v>
      </c>
      <c r="G53">
        <v>252724.78850543816</v>
      </c>
      <c r="H53">
        <v>1.004086546083071</v>
      </c>
    </row>
    <row r="54" spans="1:8" x14ac:dyDescent="0.5">
      <c r="A54" s="1">
        <v>43160</v>
      </c>
      <c r="B54">
        <v>258642.99999999997</v>
      </c>
      <c r="C54">
        <v>-2774.2400000000016</v>
      </c>
      <c r="D54">
        <v>0</v>
      </c>
      <c r="E54">
        <v>255868.75999999998</v>
      </c>
      <c r="F54">
        <v>0</v>
      </c>
      <c r="G54">
        <v>252724.78850543816</v>
      </c>
      <c r="H54">
        <v>1.012440297262309</v>
      </c>
    </row>
    <row r="55" spans="1:8" x14ac:dyDescent="0.5">
      <c r="A55" s="1">
        <v>43161</v>
      </c>
      <c r="B55">
        <v>256992.40000000002</v>
      </c>
      <c r="C55">
        <v>-2774.2400000000016</v>
      </c>
      <c r="D55">
        <v>0</v>
      </c>
      <c r="E55">
        <v>254218.16000000003</v>
      </c>
      <c r="F55">
        <v>0</v>
      </c>
      <c r="G55">
        <v>252724.78850543816</v>
      </c>
      <c r="H55">
        <v>1.0059090819835812</v>
      </c>
    </row>
    <row r="56" spans="1:8" x14ac:dyDescent="0.5">
      <c r="A56" s="1">
        <v>43164</v>
      </c>
      <c r="B56">
        <v>256456.89999999997</v>
      </c>
      <c r="C56">
        <v>-2774.2400000000016</v>
      </c>
      <c r="D56">
        <v>0</v>
      </c>
      <c r="E56">
        <v>253682.65999999997</v>
      </c>
      <c r="F56">
        <v>0</v>
      </c>
      <c r="G56">
        <v>252724.78850543816</v>
      </c>
      <c r="H56">
        <v>1.003790176263383</v>
      </c>
    </row>
    <row r="57" spans="1:8" x14ac:dyDescent="0.5">
      <c r="A57" s="1">
        <v>43165</v>
      </c>
      <c r="B57">
        <v>260232.7</v>
      </c>
      <c r="C57">
        <v>-2774.2400000000016</v>
      </c>
      <c r="D57">
        <v>0</v>
      </c>
      <c r="E57">
        <v>257458.46000000002</v>
      </c>
      <c r="F57">
        <v>0</v>
      </c>
      <c r="G57">
        <v>252724.78850543816</v>
      </c>
      <c r="H57">
        <v>1.0187305389493282</v>
      </c>
    </row>
    <row r="58" spans="1:8" x14ac:dyDescent="0.5">
      <c r="A58" s="1">
        <v>43166</v>
      </c>
      <c r="B58">
        <v>258069.7</v>
      </c>
      <c r="C58">
        <v>-2774.2400000000016</v>
      </c>
      <c r="D58">
        <v>0</v>
      </c>
      <c r="E58">
        <v>255295.46000000002</v>
      </c>
      <c r="F58">
        <v>0</v>
      </c>
      <c r="G58">
        <v>252724.78850543816</v>
      </c>
      <c r="H58">
        <v>1.0101718217265678</v>
      </c>
    </row>
    <row r="59" spans="1:8" x14ac:dyDescent="0.5">
      <c r="A59" s="1">
        <v>43167</v>
      </c>
      <c r="B59">
        <v>260645.00000000003</v>
      </c>
      <c r="C59">
        <v>-2774.2400000000016</v>
      </c>
      <c r="D59">
        <v>0</v>
      </c>
      <c r="E59">
        <v>257870.76000000004</v>
      </c>
      <c r="F59">
        <v>0</v>
      </c>
      <c r="G59">
        <v>252724.78850543816</v>
      </c>
      <c r="H59">
        <v>1.0203619578633107</v>
      </c>
    </row>
    <row r="60" spans="1:8" x14ac:dyDescent="0.5">
      <c r="A60" s="1">
        <v>43168</v>
      </c>
      <c r="B60">
        <v>262810.10000000003</v>
      </c>
      <c r="C60">
        <v>17225.759999999998</v>
      </c>
      <c r="D60">
        <v>20000</v>
      </c>
      <c r="E60">
        <v>280035.86000000004</v>
      </c>
      <c r="F60">
        <v>19600.8875535511</v>
      </c>
      <c r="G60">
        <v>272325.67605898925</v>
      </c>
      <c r="H60">
        <v>1.0283123650057171</v>
      </c>
    </row>
    <row r="61" spans="1:8" x14ac:dyDescent="0.5">
      <c r="A61" s="1">
        <v>43171</v>
      </c>
      <c r="B61">
        <v>263904.2</v>
      </c>
      <c r="C61">
        <v>17225.759999999998</v>
      </c>
      <c r="D61">
        <v>0</v>
      </c>
      <c r="E61">
        <v>281129.96000000002</v>
      </c>
      <c r="F61">
        <v>0</v>
      </c>
      <c r="G61">
        <v>272325.67605898925</v>
      </c>
      <c r="H61">
        <v>1.0323299810301532</v>
      </c>
    </row>
    <row r="62" spans="1:8" x14ac:dyDescent="0.5">
      <c r="A62" s="1">
        <v>43172</v>
      </c>
      <c r="B62">
        <v>261337.3</v>
      </c>
      <c r="C62">
        <v>17225.759999999998</v>
      </c>
      <c r="D62">
        <v>0</v>
      </c>
      <c r="E62">
        <v>278563.06</v>
      </c>
      <c r="F62">
        <v>0</v>
      </c>
      <c r="G62">
        <v>272325.67605898925</v>
      </c>
      <c r="H62">
        <v>1.0229041346055803</v>
      </c>
    </row>
    <row r="63" spans="1:8" x14ac:dyDescent="0.5">
      <c r="A63" s="1">
        <v>43173</v>
      </c>
      <c r="B63">
        <v>260053.50000000003</v>
      </c>
      <c r="C63">
        <v>17225.759999999998</v>
      </c>
      <c r="D63">
        <v>0</v>
      </c>
      <c r="E63">
        <v>277279.26</v>
      </c>
      <c r="F63">
        <v>0</v>
      </c>
      <c r="G63">
        <v>272325.67605898925</v>
      </c>
      <c r="H63">
        <v>1.0181899261674383</v>
      </c>
    </row>
    <row r="64" spans="1:8" x14ac:dyDescent="0.5">
      <c r="A64" s="1">
        <v>43174</v>
      </c>
      <c r="B64">
        <v>301725.89999999997</v>
      </c>
      <c r="C64">
        <v>-2780.0400000000045</v>
      </c>
      <c r="D64">
        <v>20000</v>
      </c>
      <c r="E64">
        <v>298945.86</v>
      </c>
      <c r="F64">
        <v>19642.700724099541</v>
      </c>
      <c r="G64">
        <v>291968.37678308878</v>
      </c>
      <c r="H64">
        <v>1.0238980785994334</v>
      </c>
    </row>
    <row r="65" spans="1:8" x14ac:dyDescent="0.5">
      <c r="A65" s="1">
        <v>43175</v>
      </c>
      <c r="B65">
        <v>298632.59999999998</v>
      </c>
      <c r="C65">
        <v>-2780.0400000000045</v>
      </c>
      <c r="D65">
        <v>0</v>
      </c>
      <c r="E65">
        <v>295852.56</v>
      </c>
      <c r="F65">
        <v>0</v>
      </c>
      <c r="G65">
        <v>291968.37678308878</v>
      </c>
      <c r="H65">
        <v>1.0133034380630779</v>
      </c>
    </row>
    <row r="66" spans="1:8" x14ac:dyDescent="0.5">
      <c r="A66" s="1">
        <v>43178</v>
      </c>
      <c r="B66">
        <v>300191.5</v>
      </c>
      <c r="C66">
        <v>-2780.0400000000045</v>
      </c>
      <c r="D66">
        <v>0</v>
      </c>
      <c r="E66">
        <v>297411.46000000002</v>
      </c>
      <c r="F66">
        <v>0</v>
      </c>
      <c r="G66">
        <v>291968.37678308878</v>
      </c>
      <c r="H66">
        <v>1.0186427149298949</v>
      </c>
    </row>
    <row r="67" spans="1:8" x14ac:dyDescent="0.5">
      <c r="A67" s="1">
        <v>43179</v>
      </c>
      <c r="B67">
        <v>300083</v>
      </c>
      <c r="C67">
        <v>-2776.0300000000043</v>
      </c>
      <c r="D67">
        <v>0</v>
      </c>
      <c r="E67">
        <v>297306.96999999997</v>
      </c>
      <c r="F67">
        <v>0</v>
      </c>
      <c r="G67">
        <v>291968.37678308878</v>
      </c>
      <c r="H67">
        <v>1.0182848337060741</v>
      </c>
    </row>
    <row r="68" spans="1:8" x14ac:dyDescent="0.5">
      <c r="A68" s="1">
        <v>43180</v>
      </c>
      <c r="B68">
        <v>298411.39999999997</v>
      </c>
      <c r="C68">
        <v>-2776.0300000000043</v>
      </c>
      <c r="D68">
        <v>0</v>
      </c>
      <c r="E68">
        <v>295635.36999999994</v>
      </c>
      <c r="F68">
        <v>0</v>
      </c>
      <c r="G68">
        <v>291968.37678308878</v>
      </c>
      <c r="H68">
        <v>1.0125595561317775</v>
      </c>
    </row>
    <row r="69" spans="1:8" x14ac:dyDescent="0.5">
      <c r="A69" s="1">
        <v>43181</v>
      </c>
      <c r="B69">
        <v>296111.90000000002</v>
      </c>
      <c r="C69">
        <v>-2776.0300000000043</v>
      </c>
      <c r="D69">
        <v>0</v>
      </c>
      <c r="E69">
        <v>293335.87</v>
      </c>
      <c r="F69">
        <v>0</v>
      </c>
      <c r="G69">
        <v>291968.37678308878</v>
      </c>
      <c r="H69">
        <v>1.0046837031872364</v>
      </c>
    </row>
    <row r="70" spans="1:8" x14ac:dyDescent="0.5">
      <c r="A70" s="1">
        <v>43182</v>
      </c>
      <c r="B70">
        <v>286427.40000000002</v>
      </c>
      <c r="C70">
        <v>-2776.0300000000043</v>
      </c>
      <c r="D70">
        <v>0</v>
      </c>
      <c r="E70">
        <v>283651.37</v>
      </c>
      <c r="F70">
        <v>0</v>
      </c>
      <c r="G70">
        <v>291968.37678308878</v>
      </c>
      <c r="H70">
        <v>0.97151401506311863</v>
      </c>
    </row>
    <row r="71" spans="1:8" x14ac:dyDescent="0.5">
      <c r="A71" s="1">
        <v>43185</v>
      </c>
      <c r="B71">
        <v>286049.40000000002</v>
      </c>
      <c r="C71">
        <v>-2776.0300000000043</v>
      </c>
      <c r="D71">
        <v>0</v>
      </c>
      <c r="E71">
        <v>283273.37</v>
      </c>
      <c r="F71">
        <v>0</v>
      </c>
      <c r="G71">
        <v>291968.37678308878</v>
      </c>
      <c r="H71">
        <v>0.97021935430511186</v>
      </c>
    </row>
    <row r="72" spans="1:8" x14ac:dyDescent="0.5">
      <c r="A72" s="1">
        <v>43186</v>
      </c>
      <c r="B72">
        <v>289167.2</v>
      </c>
      <c r="C72">
        <v>-2776.0300000000043</v>
      </c>
      <c r="D72">
        <v>0</v>
      </c>
      <c r="E72">
        <v>286391.17</v>
      </c>
      <c r="F72">
        <v>0</v>
      </c>
      <c r="G72">
        <v>291968.37678308878</v>
      </c>
      <c r="H72">
        <v>0.98089790803874544</v>
      </c>
    </row>
    <row r="73" spans="1:8" x14ac:dyDescent="0.5">
      <c r="A73" s="1">
        <v>43187</v>
      </c>
      <c r="B73">
        <v>283681.3</v>
      </c>
      <c r="C73">
        <v>-2776.0300000000043</v>
      </c>
      <c r="D73">
        <v>0</v>
      </c>
      <c r="E73">
        <v>280905.26999999996</v>
      </c>
      <c r="F73">
        <v>0</v>
      </c>
      <c r="G73">
        <v>291968.37678308878</v>
      </c>
      <c r="H73">
        <v>0.96210854440819149</v>
      </c>
    </row>
    <row r="74" spans="1:8" x14ac:dyDescent="0.5">
      <c r="A74" s="1">
        <v>43188</v>
      </c>
      <c r="B74">
        <v>288556.09999999998</v>
      </c>
      <c r="C74">
        <v>-2776.0300000000043</v>
      </c>
      <c r="D74">
        <v>0</v>
      </c>
      <c r="E74">
        <v>285780.06999999995</v>
      </c>
      <c r="F74">
        <v>0</v>
      </c>
      <c r="G74">
        <v>291968.37678308878</v>
      </c>
      <c r="H74">
        <v>0.97880487314663434</v>
      </c>
    </row>
    <row r="75" spans="1:8" x14ac:dyDescent="0.5">
      <c r="A75" s="1">
        <v>43189</v>
      </c>
      <c r="B75">
        <v>288703.10000000003</v>
      </c>
      <c r="C75">
        <v>-2776.0300000000043</v>
      </c>
      <c r="D75">
        <v>0</v>
      </c>
      <c r="E75">
        <v>285927.07</v>
      </c>
      <c r="F75">
        <v>0</v>
      </c>
      <c r="G75">
        <v>291968.37678308878</v>
      </c>
      <c r="H75">
        <v>0.97930835233030378</v>
      </c>
    </row>
    <row r="76" spans="1:8" x14ac:dyDescent="0.5">
      <c r="A76" s="1">
        <v>43192</v>
      </c>
      <c r="B76">
        <v>287818.3</v>
      </c>
      <c r="C76">
        <v>-2776.0300000000043</v>
      </c>
      <c r="D76">
        <v>0</v>
      </c>
      <c r="E76">
        <v>285042.26999999996</v>
      </c>
      <c r="F76">
        <v>0</v>
      </c>
      <c r="G76">
        <v>291968.37678308878</v>
      </c>
      <c r="H76">
        <v>0.97627788714859898</v>
      </c>
    </row>
    <row r="77" spans="1:8" x14ac:dyDescent="0.5">
      <c r="A77" s="1">
        <v>43193</v>
      </c>
      <c r="B77">
        <v>285904.5</v>
      </c>
      <c r="C77">
        <v>-2776.0300000000043</v>
      </c>
      <c r="D77">
        <v>0</v>
      </c>
      <c r="E77">
        <v>283128.46999999997</v>
      </c>
      <c r="F77">
        <v>0</v>
      </c>
      <c r="G77">
        <v>291968.37678308878</v>
      </c>
      <c r="H77">
        <v>0.96972306768120908</v>
      </c>
    </row>
    <row r="78" spans="1:8" x14ac:dyDescent="0.5">
      <c r="A78" s="1">
        <v>43194</v>
      </c>
      <c r="B78">
        <v>304949.5</v>
      </c>
      <c r="C78">
        <v>-2802.0400000000027</v>
      </c>
      <c r="D78">
        <v>20000</v>
      </c>
      <c r="E78">
        <v>302147.46000000002</v>
      </c>
      <c r="F78">
        <v>20624.444923047748</v>
      </c>
      <c r="G78">
        <v>312592.82170613651</v>
      </c>
      <c r="H78">
        <v>0.96658476784871272</v>
      </c>
    </row>
    <row r="79" spans="1:8" x14ac:dyDescent="0.5">
      <c r="A79" s="1">
        <v>43199</v>
      </c>
      <c r="B79">
        <v>305357</v>
      </c>
      <c r="C79">
        <v>-2802.0400000000027</v>
      </c>
      <c r="D79">
        <v>0</v>
      </c>
      <c r="E79">
        <v>302554.96000000002</v>
      </c>
      <c r="F79">
        <v>0</v>
      </c>
      <c r="G79">
        <v>312592.82170613651</v>
      </c>
      <c r="H79">
        <v>0.96788838063731064</v>
      </c>
    </row>
    <row r="80" spans="1:8" x14ac:dyDescent="0.5">
      <c r="A80" s="1">
        <v>43200</v>
      </c>
      <c r="B80">
        <v>310833.2</v>
      </c>
      <c r="C80">
        <v>-2802.0400000000027</v>
      </c>
      <c r="D80">
        <v>0</v>
      </c>
      <c r="E80">
        <v>308031.16000000003</v>
      </c>
      <c r="F80">
        <v>0</v>
      </c>
      <c r="G80">
        <v>312592.82170613651</v>
      </c>
      <c r="H80">
        <v>0.9854070170861926</v>
      </c>
    </row>
    <row r="81" spans="1:8" x14ac:dyDescent="0.5">
      <c r="A81" s="1">
        <v>43201</v>
      </c>
      <c r="B81">
        <v>311247</v>
      </c>
      <c r="C81">
        <v>-2802.0400000000027</v>
      </c>
      <c r="D81">
        <v>0</v>
      </c>
      <c r="E81">
        <v>308444.96000000002</v>
      </c>
      <c r="F81">
        <v>0</v>
      </c>
      <c r="G81">
        <v>312592.82170613651</v>
      </c>
      <c r="H81">
        <v>0.98673078388845459</v>
      </c>
    </row>
    <row r="82" spans="1:8" x14ac:dyDescent="0.5">
      <c r="A82" s="1">
        <v>43202</v>
      </c>
      <c r="B82">
        <v>308207.89999999997</v>
      </c>
      <c r="C82">
        <v>-2802.0400000000027</v>
      </c>
      <c r="D82">
        <v>0</v>
      </c>
      <c r="E82">
        <v>305405.86</v>
      </c>
      <c r="F82">
        <v>0</v>
      </c>
      <c r="G82">
        <v>312592.82170613651</v>
      </c>
      <c r="H82">
        <v>0.97700855167783451</v>
      </c>
    </row>
    <row r="83" spans="1:8" x14ac:dyDescent="0.5">
      <c r="A83" s="1">
        <v>43203</v>
      </c>
      <c r="B83">
        <v>306215.3</v>
      </c>
      <c r="C83">
        <v>-2802.0400000000027</v>
      </c>
      <c r="D83">
        <v>0</v>
      </c>
      <c r="E83">
        <v>303413.26</v>
      </c>
      <c r="F83">
        <v>0</v>
      </c>
      <c r="G83">
        <v>312592.82170613651</v>
      </c>
      <c r="H83">
        <v>0.97063412507032532</v>
      </c>
    </row>
    <row r="84" spans="1:8" x14ac:dyDescent="0.5">
      <c r="A84" s="1">
        <v>43206</v>
      </c>
      <c r="B84">
        <v>321673.49999999994</v>
      </c>
      <c r="C84">
        <v>-2567.970000000003</v>
      </c>
      <c r="D84">
        <v>20000</v>
      </c>
      <c r="E84">
        <v>319105.52999999991</v>
      </c>
      <c r="F84">
        <v>20605.086389839158</v>
      </c>
      <c r="G84">
        <v>333197.9080959757</v>
      </c>
      <c r="H84">
        <v>0.95770568255813726</v>
      </c>
    </row>
    <row r="85" spans="1:8" x14ac:dyDescent="0.5">
      <c r="A85" s="1">
        <v>43207</v>
      </c>
      <c r="B85">
        <v>316812</v>
      </c>
      <c r="C85">
        <v>-2567.970000000003</v>
      </c>
      <c r="D85">
        <v>0</v>
      </c>
      <c r="E85">
        <v>314244.02999999997</v>
      </c>
      <c r="F85">
        <v>0</v>
      </c>
      <c r="G85">
        <v>333197.9080959757</v>
      </c>
      <c r="H85">
        <v>0.94311525482171943</v>
      </c>
    </row>
    <row r="86" spans="1:8" x14ac:dyDescent="0.5">
      <c r="A86" s="1">
        <v>43208</v>
      </c>
      <c r="B86">
        <v>317833.2</v>
      </c>
      <c r="C86">
        <v>-2567.970000000003</v>
      </c>
      <c r="D86">
        <v>0</v>
      </c>
      <c r="E86">
        <v>315265.23</v>
      </c>
      <c r="F86">
        <v>0</v>
      </c>
      <c r="G86">
        <v>333197.9080959757</v>
      </c>
      <c r="H86">
        <v>0.9461800999938742</v>
      </c>
    </row>
    <row r="87" spans="1:8" x14ac:dyDescent="0.5">
      <c r="A87" s="1">
        <v>43209</v>
      </c>
      <c r="B87">
        <v>321949.5</v>
      </c>
      <c r="C87">
        <v>-2567.970000000003</v>
      </c>
      <c r="D87">
        <v>0</v>
      </c>
      <c r="E87">
        <v>319381.52999999997</v>
      </c>
      <c r="F87">
        <v>0</v>
      </c>
      <c r="G87">
        <v>333197.9080959757</v>
      </c>
      <c r="H87">
        <v>0.95853401909115232</v>
      </c>
    </row>
    <row r="88" spans="1:8" x14ac:dyDescent="0.5">
      <c r="A88" s="1">
        <v>43210</v>
      </c>
      <c r="B88">
        <v>316878.3</v>
      </c>
      <c r="C88">
        <v>-2567.970000000003</v>
      </c>
      <c r="D88">
        <v>0</v>
      </c>
      <c r="E88">
        <v>314310.32999999996</v>
      </c>
      <c r="F88">
        <v>0</v>
      </c>
      <c r="G88">
        <v>333197.9080959757</v>
      </c>
      <c r="H88">
        <v>0.94331423566280226</v>
      </c>
    </row>
    <row r="89" spans="1:8" x14ac:dyDescent="0.5">
      <c r="A89" s="1">
        <v>43213</v>
      </c>
      <c r="B89">
        <v>317641.8</v>
      </c>
      <c r="C89">
        <v>-2567.970000000003</v>
      </c>
      <c r="D89">
        <v>0</v>
      </c>
      <c r="E89">
        <v>315073.82999999996</v>
      </c>
      <c r="F89">
        <v>0</v>
      </c>
      <c r="G89">
        <v>333197.9080959757</v>
      </c>
      <c r="H89">
        <v>0.94560566661554424</v>
      </c>
    </row>
    <row r="90" spans="1:8" x14ac:dyDescent="0.5">
      <c r="A90" s="1">
        <v>43214</v>
      </c>
      <c r="B90">
        <v>324314.7</v>
      </c>
      <c r="C90">
        <v>-2567.970000000003</v>
      </c>
      <c r="D90">
        <v>0</v>
      </c>
      <c r="E90">
        <v>321746.73</v>
      </c>
      <c r="F90">
        <v>0</v>
      </c>
      <c r="G90">
        <v>333197.9080959757</v>
      </c>
      <c r="H90">
        <v>0.96563250303277037</v>
      </c>
    </row>
    <row r="91" spans="1:8" x14ac:dyDescent="0.5">
      <c r="A91" s="1">
        <v>43215</v>
      </c>
      <c r="B91">
        <v>322648.2</v>
      </c>
      <c r="C91">
        <v>-2567.970000000003</v>
      </c>
      <c r="D91">
        <v>0</v>
      </c>
      <c r="E91">
        <v>320080.23</v>
      </c>
      <c r="F91">
        <v>0</v>
      </c>
      <c r="G91">
        <v>333197.9080959757</v>
      </c>
      <c r="H91">
        <v>0.96063097103179518</v>
      </c>
    </row>
    <row r="92" spans="1:8" x14ac:dyDescent="0.5">
      <c r="A92" s="1">
        <v>43216</v>
      </c>
      <c r="B92">
        <v>316311.00000000006</v>
      </c>
      <c r="C92">
        <v>-2567.970000000003</v>
      </c>
      <c r="D92">
        <v>0</v>
      </c>
      <c r="E92">
        <v>313743.03000000003</v>
      </c>
      <c r="F92">
        <v>0</v>
      </c>
      <c r="G92">
        <v>333197.9080959757</v>
      </c>
      <c r="H92">
        <v>0.94161164394113839</v>
      </c>
    </row>
    <row r="93" spans="1:8" x14ac:dyDescent="0.5">
      <c r="A93" s="1">
        <v>43217</v>
      </c>
      <c r="B93">
        <v>317073.89999999997</v>
      </c>
      <c r="C93">
        <v>-2567.970000000003</v>
      </c>
      <c r="D93">
        <v>0</v>
      </c>
      <c r="E93">
        <v>314505.92999999993</v>
      </c>
      <c r="F93">
        <v>0</v>
      </c>
      <c r="G93">
        <v>333197.9080959757</v>
      </c>
      <c r="H93">
        <v>0.94390127416228664</v>
      </c>
    </row>
    <row r="94" spans="1:8" x14ac:dyDescent="0.5">
      <c r="A94" s="1">
        <v>43222</v>
      </c>
      <c r="B94">
        <v>317862.3</v>
      </c>
      <c r="C94">
        <v>-2567.970000000003</v>
      </c>
      <c r="D94">
        <v>0</v>
      </c>
      <c r="E94">
        <v>315294.32999999996</v>
      </c>
      <c r="F94">
        <v>0</v>
      </c>
      <c r="G94">
        <v>333197.9080959757</v>
      </c>
      <c r="H94">
        <v>0.94626743547615932</v>
      </c>
    </row>
    <row r="95" spans="1:8" x14ac:dyDescent="0.5">
      <c r="A95" s="1">
        <v>43223</v>
      </c>
      <c r="B95">
        <v>319870.50000000006</v>
      </c>
      <c r="C95">
        <v>-2567.970000000003</v>
      </c>
      <c r="D95">
        <v>0</v>
      </c>
      <c r="E95">
        <v>317302.53000000003</v>
      </c>
      <c r="F95">
        <v>0</v>
      </c>
      <c r="G95">
        <v>333197.9080959757</v>
      </c>
      <c r="H95">
        <v>0.95229448411963891</v>
      </c>
    </row>
    <row r="96" spans="1:8" x14ac:dyDescent="0.5">
      <c r="A96" s="1">
        <v>43224</v>
      </c>
      <c r="B96">
        <v>318511.5</v>
      </c>
      <c r="C96">
        <v>-2567.970000000003</v>
      </c>
      <c r="D96">
        <v>0</v>
      </c>
      <c r="E96">
        <v>315943.52999999997</v>
      </c>
      <c r="F96">
        <v>0</v>
      </c>
      <c r="G96">
        <v>333197.9080959757</v>
      </c>
      <c r="H96">
        <v>0.94821582706033769</v>
      </c>
    </row>
    <row r="97" spans="1:8" x14ac:dyDescent="0.5">
      <c r="A97" s="1">
        <v>43227</v>
      </c>
      <c r="B97">
        <v>323787.60000000003</v>
      </c>
      <c r="C97">
        <v>-2567.970000000003</v>
      </c>
      <c r="D97">
        <v>0</v>
      </c>
      <c r="E97">
        <v>321219.63</v>
      </c>
      <c r="F97">
        <v>0</v>
      </c>
      <c r="G97">
        <v>333197.9080959757</v>
      </c>
      <c r="H97">
        <v>0.96405056032787151</v>
      </c>
    </row>
    <row r="98" spans="1:8" x14ac:dyDescent="0.5">
      <c r="A98" s="1">
        <v>43228</v>
      </c>
      <c r="B98">
        <v>327681.60000000003</v>
      </c>
      <c r="C98">
        <v>-2567.970000000003</v>
      </c>
      <c r="D98">
        <v>0</v>
      </c>
      <c r="E98">
        <v>325113.63</v>
      </c>
      <c r="F98">
        <v>0</v>
      </c>
      <c r="G98">
        <v>333197.9080959757</v>
      </c>
      <c r="H98">
        <v>0.97573730836975403</v>
      </c>
    </row>
    <row r="99" spans="1:8" x14ac:dyDescent="0.5">
      <c r="A99" s="1">
        <v>43229</v>
      </c>
      <c r="B99">
        <v>326709</v>
      </c>
      <c r="C99">
        <v>-2567.970000000003</v>
      </c>
      <c r="D99">
        <v>0</v>
      </c>
      <c r="E99">
        <v>324141.02999999997</v>
      </c>
      <c r="F99">
        <v>0</v>
      </c>
      <c r="G99">
        <v>333197.9080959757</v>
      </c>
      <c r="H99">
        <v>0.97281832245667355</v>
      </c>
    </row>
    <row r="100" spans="1:8" x14ac:dyDescent="0.5">
      <c r="A100" s="1">
        <v>43230</v>
      </c>
      <c r="B100">
        <v>328799.40000000002</v>
      </c>
      <c r="C100">
        <v>-2567.970000000003</v>
      </c>
      <c r="D100">
        <v>0</v>
      </c>
      <c r="E100">
        <v>326231.43</v>
      </c>
      <c r="F100">
        <v>0</v>
      </c>
      <c r="G100">
        <v>333197.9080959757</v>
      </c>
      <c r="H100">
        <v>0.97909207132846388</v>
      </c>
    </row>
    <row r="101" spans="1:8" x14ac:dyDescent="0.5">
      <c r="A101" s="1">
        <v>43231</v>
      </c>
      <c r="B101">
        <v>346919.7</v>
      </c>
      <c r="C101">
        <v>-2770.8300000000036</v>
      </c>
      <c r="D101">
        <v>20000</v>
      </c>
      <c r="E101">
        <v>344148.87</v>
      </c>
      <c r="F101">
        <v>20427.088100982528</v>
      </c>
      <c r="G101">
        <v>353624.99619695824</v>
      </c>
      <c r="H101">
        <v>0.97320289487771294</v>
      </c>
    </row>
    <row r="102" spans="1:8" x14ac:dyDescent="0.5">
      <c r="A102" s="1">
        <v>43234</v>
      </c>
      <c r="B102">
        <v>349426.89999999997</v>
      </c>
      <c r="C102">
        <v>-2770.8300000000036</v>
      </c>
      <c r="D102">
        <v>0</v>
      </c>
      <c r="E102">
        <v>346656.06999999995</v>
      </c>
      <c r="F102">
        <v>0</v>
      </c>
      <c r="G102">
        <v>353624.99619695824</v>
      </c>
      <c r="H102">
        <v>0.98029289141914389</v>
      </c>
    </row>
    <row r="103" spans="1:8" x14ac:dyDescent="0.5">
      <c r="A103" s="1">
        <v>43235</v>
      </c>
      <c r="B103">
        <v>350994.39999999997</v>
      </c>
      <c r="C103">
        <v>-2770.8300000000036</v>
      </c>
      <c r="D103">
        <v>0</v>
      </c>
      <c r="E103">
        <v>348223.56999999995</v>
      </c>
      <c r="F103">
        <v>0</v>
      </c>
      <c r="G103">
        <v>353624.99619695824</v>
      </c>
      <c r="H103">
        <v>0.9847255531847362</v>
      </c>
    </row>
    <row r="104" spans="1:8" x14ac:dyDescent="0.5">
      <c r="A104" s="1">
        <v>43236</v>
      </c>
      <c r="B104">
        <v>348356</v>
      </c>
      <c r="C104">
        <v>-2770.8300000000036</v>
      </c>
      <c r="D104">
        <v>0</v>
      </c>
      <c r="E104">
        <v>345585.17</v>
      </c>
      <c r="F104">
        <v>0</v>
      </c>
      <c r="G104">
        <v>353624.99619695824</v>
      </c>
      <c r="H104">
        <v>0.97726454214656167</v>
      </c>
    </row>
    <row r="105" spans="1:8" x14ac:dyDescent="0.5">
      <c r="A105" s="1">
        <v>43237</v>
      </c>
      <c r="B105">
        <v>345487.1</v>
      </c>
      <c r="C105">
        <v>-2770.8300000000036</v>
      </c>
      <c r="D105">
        <v>0</v>
      </c>
      <c r="E105">
        <v>342716.26999999996</v>
      </c>
      <c r="F105">
        <v>0</v>
      </c>
      <c r="G105">
        <v>353624.99619695824</v>
      </c>
      <c r="H105">
        <v>0.96915171067012906</v>
      </c>
    </row>
    <row r="106" spans="1:8" x14ac:dyDescent="0.5">
      <c r="A106" s="1">
        <v>43238</v>
      </c>
      <c r="B106">
        <v>349069.69999999995</v>
      </c>
      <c r="C106">
        <v>-2770.8300000000036</v>
      </c>
      <c r="D106">
        <v>0</v>
      </c>
      <c r="E106">
        <v>346298.86999999994</v>
      </c>
      <c r="F106">
        <v>0</v>
      </c>
      <c r="G106">
        <v>353624.99619695824</v>
      </c>
      <c r="H106">
        <v>0.97928278182892403</v>
      </c>
    </row>
    <row r="107" spans="1:8" x14ac:dyDescent="0.5">
      <c r="A107" s="1">
        <v>43241</v>
      </c>
      <c r="B107">
        <v>351023.7</v>
      </c>
      <c r="C107">
        <v>-2770.8300000000036</v>
      </c>
      <c r="D107">
        <v>0</v>
      </c>
      <c r="E107">
        <v>348252.87</v>
      </c>
      <c r="F107">
        <v>0</v>
      </c>
      <c r="G107">
        <v>353624.99619695824</v>
      </c>
      <c r="H107">
        <v>0.98480840931853664</v>
      </c>
    </row>
    <row r="108" spans="1:8" x14ac:dyDescent="0.5">
      <c r="A108" s="1">
        <v>43242</v>
      </c>
      <c r="B108">
        <v>349918.69999999995</v>
      </c>
      <c r="C108">
        <v>-2770.8300000000036</v>
      </c>
      <c r="D108">
        <v>0</v>
      </c>
      <c r="E108">
        <v>347147.86999999994</v>
      </c>
      <c r="F108">
        <v>0</v>
      </c>
      <c r="G108">
        <v>353624.99619695824</v>
      </c>
      <c r="H108">
        <v>0.98168363021105343</v>
      </c>
    </row>
    <row r="109" spans="1:8" x14ac:dyDescent="0.5">
      <c r="A109" s="1">
        <v>43243</v>
      </c>
      <c r="B109">
        <v>365364.10000000009</v>
      </c>
      <c r="C109">
        <v>-2848.850000000004</v>
      </c>
      <c r="D109">
        <v>20000</v>
      </c>
      <c r="E109">
        <v>362515.25000000012</v>
      </c>
      <c r="F109">
        <v>20373.162375846252</v>
      </c>
      <c r="G109">
        <v>373998.15857280447</v>
      </c>
      <c r="H109">
        <v>0.96929688473166897</v>
      </c>
    </row>
    <row r="110" spans="1:8" x14ac:dyDescent="0.5">
      <c r="A110" s="1">
        <v>43244</v>
      </c>
      <c r="B110">
        <v>362618.6</v>
      </c>
      <c r="C110">
        <v>-2848.850000000004</v>
      </c>
      <c r="D110">
        <v>0</v>
      </c>
      <c r="E110">
        <v>359769.75</v>
      </c>
      <c r="F110">
        <v>0</v>
      </c>
      <c r="G110">
        <v>373998.15857280447</v>
      </c>
      <c r="H110">
        <v>0.96195593949686597</v>
      </c>
    </row>
    <row r="111" spans="1:8" x14ac:dyDescent="0.5">
      <c r="A111" s="1">
        <v>43245</v>
      </c>
      <c r="B111">
        <v>361328.9</v>
      </c>
      <c r="C111">
        <v>-2848.850000000004</v>
      </c>
      <c r="D111">
        <v>0</v>
      </c>
      <c r="E111">
        <v>358480.05000000005</v>
      </c>
      <c r="F111">
        <v>0</v>
      </c>
      <c r="G111">
        <v>373998.15857280447</v>
      </c>
      <c r="H111">
        <v>0.95850752679632889</v>
      </c>
    </row>
    <row r="112" spans="1:8" x14ac:dyDescent="0.5">
      <c r="A112" s="1">
        <v>43248</v>
      </c>
      <c r="B112">
        <v>363281.3</v>
      </c>
      <c r="C112">
        <v>-2848.850000000004</v>
      </c>
      <c r="D112">
        <v>0</v>
      </c>
      <c r="E112">
        <v>360432.45</v>
      </c>
      <c r="F112">
        <v>0</v>
      </c>
      <c r="G112">
        <v>373998.15857280447</v>
      </c>
      <c r="H112">
        <v>0.96372787335485322</v>
      </c>
    </row>
    <row r="113" spans="1:8" x14ac:dyDescent="0.5">
      <c r="A113" s="1">
        <v>43249</v>
      </c>
      <c r="B113">
        <v>359747.9</v>
      </c>
      <c r="C113">
        <v>-2848.850000000004</v>
      </c>
      <c r="D113">
        <v>0</v>
      </c>
      <c r="E113">
        <v>356899.05000000005</v>
      </c>
      <c r="F113">
        <v>0</v>
      </c>
      <c r="G113">
        <v>373998.15857280447</v>
      </c>
      <c r="H113">
        <v>0.95428023325554467</v>
      </c>
    </row>
    <row r="114" spans="1:8" x14ac:dyDescent="0.5">
      <c r="A114" s="1">
        <v>43250</v>
      </c>
      <c r="B114">
        <v>352775.6</v>
      </c>
      <c r="C114">
        <v>-2848.850000000004</v>
      </c>
      <c r="D114">
        <v>0</v>
      </c>
      <c r="E114">
        <v>349926.75</v>
      </c>
      <c r="F114">
        <v>0</v>
      </c>
      <c r="G114">
        <v>373998.15857280447</v>
      </c>
      <c r="H114">
        <v>0.93563762809779016</v>
      </c>
    </row>
    <row r="115" spans="1:8" x14ac:dyDescent="0.5">
      <c r="A115" s="1">
        <v>43251</v>
      </c>
      <c r="B115">
        <v>359644.9</v>
      </c>
      <c r="C115">
        <v>-2848.850000000004</v>
      </c>
      <c r="D115">
        <v>0</v>
      </c>
      <c r="E115">
        <v>356796.05000000005</v>
      </c>
      <c r="F115">
        <v>0</v>
      </c>
      <c r="G115">
        <v>373998.15857280447</v>
      </c>
      <c r="H115">
        <v>0.95400483083005405</v>
      </c>
    </row>
    <row r="116" spans="1:8" x14ac:dyDescent="0.5">
      <c r="A116" s="1">
        <v>43252</v>
      </c>
      <c r="B116">
        <v>357000.6</v>
      </c>
      <c r="C116">
        <v>-2848.850000000004</v>
      </c>
      <c r="D116">
        <v>0</v>
      </c>
      <c r="E116">
        <v>354151.75</v>
      </c>
      <c r="F116">
        <v>0</v>
      </c>
      <c r="G116">
        <v>373998.15857280447</v>
      </c>
      <c r="H116">
        <v>0.9469344751628207</v>
      </c>
    </row>
    <row r="117" spans="1:8" x14ac:dyDescent="0.5">
      <c r="A117" s="1">
        <v>43255</v>
      </c>
      <c r="B117">
        <v>360120.79999999993</v>
      </c>
      <c r="C117">
        <v>-2848.850000000004</v>
      </c>
      <c r="D117">
        <v>0</v>
      </c>
      <c r="E117">
        <v>357271.94999999995</v>
      </c>
      <c r="F117">
        <v>0</v>
      </c>
      <c r="G117">
        <v>373998.15857280447</v>
      </c>
      <c r="H117">
        <v>0.95527729698821895</v>
      </c>
    </row>
    <row r="118" spans="1:8" x14ac:dyDescent="0.5">
      <c r="A118" s="1">
        <v>43256</v>
      </c>
      <c r="B118">
        <v>383466.6</v>
      </c>
      <c r="C118">
        <v>-2776.0300000000043</v>
      </c>
      <c r="D118">
        <v>20000</v>
      </c>
      <c r="E118">
        <v>380690.56999999995</v>
      </c>
      <c r="F118">
        <v>20936.329234511948</v>
      </c>
      <c r="G118">
        <v>394934.48780731641</v>
      </c>
      <c r="H118">
        <v>0.96393346682281666</v>
      </c>
    </row>
    <row r="119" spans="1:8" x14ac:dyDescent="0.5">
      <c r="A119" s="1">
        <v>43257</v>
      </c>
      <c r="B119">
        <v>382800.89999999997</v>
      </c>
      <c r="C119">
        <v>-2776.0300000000043</v>
      </c>
      <c r="D119">
        <v>0</v>
      </c>
      <c r="E119">
        <v>380024.86999999994</v>
      </c>
      <c r="F119">
        <v>0</v>
      </c>
      <c r="G119">
        <v>394934.48780731641</v>
      </c>
      <c r="H119">
        <v>0.96224787080486451</v>
      </c>
    </row>
    <row r="120" spans="1:8" x14ac:dyDescent="0.5">
      <c r="A120" s="1">
        <v>43258</v>
      </c>
      <c r="B120">
        <v>382503.30000000005</v>
      </c>
      <c r="C120">
        <v>-2776.0300000000043</v>
      </c>
      <c r="D120">
        <v>0</v>
      </c>
      <c r="E120">
        <v>379727.27</v>
      </c>
      <c r="F120">
        <v>0</v>
      </c>
      <c r="G120">
        <v>394934.48780731641</v>
      </c>
      <c r="H120">
        <v>0.96149432810553681</v>
      </c>
    </row>
    <row r="121" spans="1:8" x14ac:dyDescent="0.5">
      <c r="A121" s="1">
        <v>43259</v>
      </c>
      <c r="B121">
        <v>377462.39999999997</v>
      </c>
      <c r="C121">
        <v>-2776.0300000000043</v>
      </c>
      <c r="D121">
        <v>0</v>
      </c>
      <c r="E121">
        <v>374686.36999999994</v>
      </c>
      <c r="F121">
        <v>0</v>
      </c>
      <c r="G121">
        <v>394934.48780731641</v>
      </c>
      <c r="H121">
        <v>0.94873043901601406</v>
      </c>
    </row>
    <row r="122" spans="1:8" x14ac:dyDescent="0.5">
      <c r="A122" s="1">
        <v>43262</v>
      </c>
      <c r="B122">
        <v>378126.29999999993</v>
      </c>
      <c r="C122">
        <v>-2776.0300000000043</v>
      </c>
      <c r="D122">
        <v>0</v>
      </c>
      <c r="E122">
        <v>375350.2699999999</v>
      </c>
      <c r="F122">
        <v>0</v>
      </c>
      <c r="G122">
        <v>394934.48780731641</v>
      </c>
      <c r="H122">
        <v>0.9504114773160266</v>
      </c>
    </row>
    <row r="123" spans="1:8" x14ac:dyDescent="0.5">
      <c r="A123" s="1">
        <v>43263</v>
      </c>
      <c r="B123">
        <v>381843.6</v>
      </c>
      <c r="C123">
        <v>-2776.0300000000043</v>
      </c>
      <c r="D123">
        <v>0</v>
      </c>
      <c r="E123">
        <v>379067.56999999995</v>
      </c>
      <c r="F123">
        <v>0</v>
      </c>
      <c r="G123">
        <v>394934.48780731641</v>
      </c>
      <c r="H123">
        <v>0.95982392448071607</v>
      </c>
    </row>
    <row r="124" spans="1:8" x14ac:dyDescent="0.5">
      <c r="A124" s="1">
        <v>43264</v>
      </c>
      <c r="B124">
        <v>377809.80000000005</v>
      </c>
      <c r="C124">
        <v>-2776.0300000000043</v>
      </c>
      <c r="D124">
        <v>0</v>
      </c>
      <c r="E124">
        <v>375033.77</v>
      </c>
      <c r="F124">
        <v>0</v>
      </c>
      <c r="G124">
        <v>394934.48780731641</v>
      </c>
      <c r="H124">
        <v>0.94961007857833446</v>
      </c>
    </row>
    <row r="125" spans="1:8" x14ac:dyDescent="0.5">
      <c r="A125" s="1">
        <v>43265</v>
      </c>
      <c r="B125">
        <v>376849.80000000005</v>
      </c>
      <c r="C125">
        <v>-2776.0300000000043</v>
      </c>
      <c r="D125">
        <v>0</v>
      </c>
      <c r="E125">
        <v>374073.77</v>
      </c>
      <c r="F125">
        <v>0</v>
      </c>
      <c r="G125">
        <v>394934.48780731641</v>
      </c>
      <c r="H125">
        <v>0.94717929567727677</v>
      </c>
    </row>
    <row r="126" spans="1:8" x14ac:dyDescent="0.5">
      <c r="A126" s="1">
        <v>43266</v>
      </c>
      <c r="B126">
        <v>375650.1</v>
      </c>
      <c r="C126">
        <v>-2776.0300000000043</v>
      </c>
      <c r="D126">
        <v>0</v>
      </c>
      <c r="E126">
        <v>372874.06999999995</v>
      </c>
      <c r="F126">
        <v>0</v>
      </c>
      <c r="G126">
        <v>394934.48780731641</v>
      </c>
      <c r="H126">
        <v>0.94414157667061105</v>
      </c>
    </row>
    <row r="127" spans="1:8" x14ac:dyDescent="0.5">
      <c r="A127" s="1">
        <v>43270</v>
      </c>
      <c r="B127">
        <v>361670.7</v>
      </c>
      <c r="C127">
        <v>-2776.0300000000043</v>
      </c>
      <c r="D127">
        <v>0</v>
      </c>
      <c r="E127">
        <v>358894.67</v>
      </c>
      <c r="F127">
        <v>0</v>
      </c>
      <c r="G127">
        <v>394934.48780731641</v>
      </c>
      <c r="H127">
        <v>0.90874481991327183</v>
      </c>
    </row>
    <row r="128" spans="1:8" x14ac:dyDescent="0.5">
      <c r="A128" s="1">
        <v>43271</v>
      </c>
      <c r="B128">
        <v>361973.1</v>
      </c>
      <c r="C128">
        <v>-2773.7000000000044</v>
      </c>
      <c r="D128">
        <v>0</v>
      </c>
      <c r="E128">
        <v>359199.39999999997</v>
      </c>
      <c r="F128">
        <v>0</v>
      </c>
      <c r="G128">
        <v>394934.48780731641</v>
      </c>
      <c r="H128">
        <v>0.90951641623977098</v>
      </c>
    </row>
    <row r="129" spans="1:8" x14ac:dyDescent="0.5">
      <c r="A129" s="1">
        <v>43272</v>
      </c>
      <c r="B129">
        <v>358671</v>
      </c>
      <c r="C129">
        <v>-2773.7000000000044</v>
      </c>
      <c r="D129">
        <v>0</v>
      </c>
      <c r="E129">
        <v>355897.3</v>
      </c>
      <c r="F129">
        <v>0</v>
      </c>
      <c r="G129">
        <v>394934.48780731641</v>
      </c>
      <c r="H129">
        <v>0.90115528267978917</v>
      </c>
    </row>
    <row r="130" spans="1:8" x14ac:dyDescent="0.5">
      <c r="A130" s="1">
        <v>43273</v>
      </c>
      <c r="B130">
        <v>360547.2</v>
      </c>
      <c r="C130">
        <v>-2773.7000000000044</v>
      </c>
      <c r="D130">
        <v>0</v>
      </c>
      <c r="E130">
        <v>357773.5</v>
      </c>
      <c r="F130">
        <v>0</v>
      </c>
      <c r="G130">
        <v>394934.48780731641</v>
      </c>
      <c r="H130">
        <v>0.90590594401204383</v>
      </c>
    </row>
    <row r="131" spans="1:8" x14ac:dyDescent="0.5">
      <c r="A131" s="1">
        <v>43276</v>
      </c>
      <c r="B131">
        <v>355657.5</v>
      </c>
      <c r="C131">
        <v>-2773.7000000000044</v>
      </c>
      <c r="D131">
        <v>0</v>
      </c>
      <c r="E131">
        <v>352883.8</v>
      </c>
      <c r="F131">
        <v>0</v>
      </c>
      <c r="G131">
        <v>394934.48780731641</v>
      </c>
      <c r="H131">
        <v>0.89352490322943778</v>
      </c>
    </row>
    <row r="132" spans="1:8" x14ac:dyDescent="0.5">
      <c r="A132" s="1">
        <v>43277</v>
      </c>
      <c r="B132">
        <v>392929.1</v>
      </c>
      <c r="C132">
        <v>-2866.820000000007</v>
      </c>
      <c r="D132">
        <v>40000</v>
      </c>
      <c r="E132">
        <v>390062.27999999997</v>
      </c>
      <c r="F132">
        <v>44766.51949534849</v>
      </c>
      <c r="G132">
        <v>439701.00730266492</v>
      </c>
      <c r="H132">
        <v>0.8871079973021383</v>
      </c>
    </row>
    <row r="133" spans="1:8" x14ac:dyDescent="0.5">
      <c r="A133" s="1">
        <v>43278</v>
      </c>
      <c r="B133">
        <v>383978.9</v>
      </c>
      <c r="C133">
        <v>-2866.820000000007</v>
      </c>
      <c r="D133">
        <v>0</v>
      </c>
      <c r="E133">
        <v>381112.08</v>
      </c>
      <c r="F133">
        <v>0</v>
      </c>
      <c r="G133">
        <v>439701.00730266492</v>
      </c>
      <c r="H133">
        <v>0.86675280172297708</v>
      </c>
    </row>
    <row r="134" spans="1:8" x14ac:dyDescent="0.5">
      <c r="A134" s="1">
        <v>43279</v>
      </c>
      <c r="B134">
        <v>381706.9</v>
      </c>
      <c r="C134">
        <v>-2866.820000000007</v>
      </c>
      <c r="D134">
        <v>0</v>
      </c>
      <c r="E134">
        <v>378840.08</v>
      </c>
      <c r="F134">
        <v>0</v>
      </c>
      <c r="G134">
        <v>439701.00730266492</v>
      </c>
      <c r="H134">
        <v>0.86158565413344224</v>
      </c>
    </row>
    <row r="135" spans="1:8" x14ac:dyDescent="0.5">
      <c r="A135" s="1">
        <v>43280</v>
      </c>
      <c r="B135">
        <v>392082.3</v>
      </c>
      <c r="C135">
        <v>-2866.820000000007</v>
      </c>
      <c r="D135">
        <v>0</v>
      </c>
      <c r="E135">
        <v>389215.48</v>
      </c>
      <c r="F135">
        <v>0</v>
      </c>
      <c r="G135">
        <v>439701.00730266492</v>
      </c>
      <c r="H135">
        <v>0.88518214317413746</v>
      </c>
    </row>
    <row r="136" spans="1:8" x14ac:dyDescent="0.5">
      <c r="A136" s="1">
        <v>43283</v>
      </c>
      <c r="B136">
        <v>382027.6</v>
      </c>
      <c r="C136">
        <v>-2866.820000000007</v>
      </c>
      <c r="D136">
        <v>0</v>
      </c>
      <c r="E136">
        <v>379160.77999999997</v>
      </c>
      <c r="F136">
        <v>0</v>
      </c>
      <c r="G136">
        <v>439701.00730266492</v>
      </c>
      <c r="H136">
        <v>0.86231501339046845</v>
      </c>
    </row>
    <row r="137" spans="1:8" x14ac:dyDescent="0.5">
      <c r="A137" s="1">
        <v>43284</v>
      </c>
      <c r="B137">
        <v>381073.7</v>
      </c>
      <c r="C137">
        <v>-2866.820000000007</v>
      </c>
      <c r="D137">
        <v>0</v>
      </c>
      <c r="E137">
        <v>378206.88</v>
      </c>
      <c r="F137">
        <v>0</v>
      </c>
      <c r="G137">
        <v>439701.00730266492</v>
      </c>
      <c r="H137">
        <v>0.86014558465558422</v>
      </c>
    </row>
    <row r="138" spans="1:8" x14ac:dyDescent="0.5">
      <c r="A138" s="1">
        <v>43285</v>
      </c>
      <c r="B138">
        <v>376965.19999999995</v>
      </c>
      <c r="C138">
        <v>-2866.820000000007</v>
      </c>
      <c r="D138">
        <v>0</v>
      </c>
      <c r="E138">
        <v>374098.37999999995</v>
      </c>
      <c r="F138">
        <v>0</v>
      </c>
      <c r="G138">
        <v>439701.00730266492</v>
      </c>
      <c r="H138">
        <v>0.85080173524026548</v>
      </c>
    </row>
    <row r="139" spans="1:8" x14ac:dyDescent="0.5">
      <c r="A139" s="1">
        <v>43286</v>
      </c>
      <c r="B139">
        <v>373230</v>
      </c>
      <c r="C139">
        <v>-2866.820000000007</v>
      </c>
      <c r="D139">
        <v>0</v>
      </c>
      <c r="E139">
        <v>370363.18</v>
      </c>
      <c r="F139">
        <v>0</v>
      </c>
      <c r="G139">
        <v>439701.00730266492</v>
      </c>
      <c r="H139">
        <v>0.84230687182634367</v>
      </c>
    </row>
    <row r="140" spans="1:8" x14ac:dyDescent="0.5">
      <c r="A140" s="1">
        <v>43287</v>
      </c>
      <c r="B140">
        <v>376171.6</v>
      </c>
      <c r="C140">
        <v>-2866.820000000007</v>
      </c>
      <c r="D140">
        <v>0</v>
      </c>
      <c r="E140">
        <v>373304.77999999997</v>
      </c>
      <c r="F140">
        <v>0</v>
      </c>
      <c r="G140">
        <v>439701.00730266492</v>
      </c>
      <c r="H140">
        <v>0.84899687242025901</v>
      </c>
    </row>
    <row r="141" spans="1:8" x14ac:dyDescent="0.5">
      <c r="A141" s="1">
        <v>43290</v>
      </c>
      <c r="B141">
        <v>387027.4</v>
      </c>
      <c r="C141">
        <v>-2866.820000000007</v>
      </c>
      <c r="D141">
        <v>0</v>
      </c>
      <c r="E141">
        <v>384160.58</v>
      </c>
      <c r="F141">
        <v>0</v>
      </c>
      <c r="G141">
        <v>439701.00730266492</v>
      </c>
      <c r="H141">
        <v>0.87368592206923446</v>
      </c>
    </row>
    <row r="142" spans="1:8" x14ac:dyDescent="0.5">
      <c r="A142" s="1">
        <v>43291</v>
      </c>
      <c r="B142">
        <v>388119.1</v>
      </c>
      <c r="C142">
        <v>-2866.820000000007</v>
      </c>
      <c r="D142">
        <v>0</v>
      </c>
      <c r="E142">
        <v>385252.27999999997</v>
      </c>
      <c r="F142">
        <v>0</v>
      </c>
      <c r="G142">
        <v>439701.00730266492</v>
      </c>
      <c r="H142">
        <v>0.87616874558309676</v>
      </c>
    </row>
    <row r="143" spans="1:8" x14ac:dyDescent="0.5">
      <c r="A143" s="1">
        <v>43292</v>
      </c>
      <c r="B143">
        <v>381612.2</v>
      </c>
      <c r="C143">
        <v>-2866.820000000007</v>
      </c>
      <c r="D143">
        <v>0</v>
      </c>
      <c r="E143">
        <v>378745.38</v>
      </c>
      <c r="F143">
        <v>0</v>
      </c>
      <c r="G143">
        <v>439701.00730266492</v>
      </c>
      <c r="H143">
        <v>0.86137028050812137</v>
      </c>
    </row>
    <row r="144" spans="1:8" x14ac:dyDescent="0.5">
      <c r="A144" s="1">
        <v>43293</v>
      </c>
      <c r="B144">
        <v>390978</v>
      </c>
      <c r="C144">
        <v>-2866.820000000007</v>
      </c>
      <c r="D144">
        <v>0</v>
      </c>
      <c r="E144">
        <v>388111.18</v>
      </c>
      <c r="F144">
        <v>0</v>
      </c>
      <c r="G144">
        <v>439701.00730266492</v>
      </c>
      <c r="H144">
        <v>0.88267066382417125</v>
      </c>
    </row>
    <row r="145" spans="1:8" x14ac:dyDescent="0.5">
      <c r="A145" s="1">
        <v>43294</v>
      </c>
      <c r="B145">
        <v>391672.2</v>
      </c>
      <c r="C145">
        <v>-2866.820000000007</v>
      </c>
      <c r="D145">
        <v>0</v>
      </c>
      <c r="E145">
        <v>388805.38</v>
      </c>
      <c r="F145">
        <v>0</v>
      </c>
      <c r="G145">
        <v>439701.00730266492</v>
      </c>
      <c r="H145">
        <v>0.88424946393713566</v>
      </c>
    </row>
    <row r="146" spans="1:8" x14ac:dyDescent="0.5">
      <c r="A146" s="1">
        <v>43297</v>
      </c>
      <c r="B146">
        <v>390194.99999999994</v>
      </c>
      <c r="C146">
        <v>-2866.820000000007</v>
      </c>
      <c r="D146">
        <v>0</v>
      </c>
      <c r="E146">
        <v>387328.17999999993</v>
      </c>
      <c r="F146">
        <v>0</v>
      </c>
      <c r="G146">
        <v>439701.00730266492</v>
      </c>
      <c r="H146">
        <v>0.88088990829485514</v>
      </c>
    </row>
    <row r="147" spans="1:8" x14ac:dyDescent="0.5">
      <c r="A147" s="1">
        <v>43298</v>
      </c>
      <c r="B147">
        <v>387853.3</v>
      </c>
      <c r="C147">
        <v>-2866.820000000007</v>
      </c>
      <c r="D147">
        <v>0</v>
      </c>
      <c r="E147">
        <v>384986.48</v>
      </c>
      <c r="F147">
        <v>0</v>
      </c>
      <c r="G147">
        <v>439701.00730266492</v>
      </c>
      <c r="H147">
        <v>0.87556424389766607</v>
      </c>
    </row>
    <row r="148" spans="1:8" x14ac:dyDescent="0.5">
      <c r="A148" s="1">
        <v>43299</v>
      </c>
      <c r="B148">
        <v>386073.50000000006</v>
      </c>
      <c r="C148">
        <v>-2866.820000000007</v>
      </c>
      <c r="D148">
        <v>0</v>
      </c>
      <c r="E148">
        <v>383206.68000000005</v>
      </c>
      <c r="F148">
        <v>0</v>
      </c>
      <c r="G148">
        <v>439701.00730266492</v>
      </c>
      <c r="H148">
        <v>0.87151649333435022</v>
      </c>
    </row>
    <row r="149" spans="1:8" x14ac:dyDescent="0.5">
      <c r="A149" s="1">
        <v>43300</v>
      </c>
      <c r="B149">
        <v>405838.80000000005</v>
      </c>
      <c r="C149">
        <v>-2822.8100000000086</v>
      </c>
      <c r="D149">
        <v>20000</v>
      </c>
      <c r="E149">
        <v>403015.99000000005</v>
      </c>
      <c r="F149">
        <v>22948.504305961727</v>
      </c>
      <c r="G149">
        <v>462649.51160862664</v>
      </c>
      <c r="H149">
        <v>0.87110432387298631</v>
      </c>
    </row>
    <row r="150" spans="1:8" x14ac:dyDescent="0.5">
      <c r="A150" s="1">
        <v>43301</v>
      </c>
      <c r="B150">
        <v>413409.8</v>
      </c>
      <c r="C150">
        <v>-2702.8100000000086</v>
      </c>
      <c r="D150">
        <v>0</v>
      </c>
      <c r="E150">
        <v>410706.99</v>
      </c>
      <c r="F150">
        <v>0</v>
      </c>
      <c r="G150">
        <v>462649.51160862664</v>
      </c>
      <c r="H150">
        <v>0.88772813910897008</v>
      </c>
    </row>
    <row r="151" spans="1:8" x14ac:dyDescent="0.5">
      <c r="A151" s="1">
        <v>43304</v>
      </c>
      <c r="B151">
        <v>416122.19999999995</v>
      </c>
      <c r="C151">
        <v>-2447.8100000000086</v>
      </c>
      <c r="D151">
        <v>0</v>
      </c>
      <c r="E151">
        <v>413674.38999999996</v>
      </c>
      <c r="F151">
        <v>0</v>
      </c>
      <c r="G151">
        <v>462649.51160862664</v>
      </c>
      <c r="H151">
        <v>0.89414206568955235</v>
      </c>
    </row>
    <row r="152" spans="1:8" x14ac:dyDescent="0.5">
      <c r="A152" s="1">
        <v>43305</v>
      </c>
      <c r="B152">
        <v>423750.3</v>
      </c>
      <c r="C152">
        <v>-2447.8100000000086</v>
      </c>
      <c r="D152">
        <v>0</v>
      </c>
      <c r="E152">
        <v>421302.49</v>
      </c>
      <c r="F152">
        <v>0</v>
      </c>
      <c r="G152">
        <v>462649.51160862664</v>
      </c>
      <c r="H152">
        <v>0.91062992487582328</v>
      </c>
    </row>
    <row r="153" spans="1:8" x14ac:dyDescent="0.5">
      <c r="A153" s="1">
        <v>43306</v>
      </c>
      <c r="B153">
        <v>423649.89999999997</v>
      </c>
      <c r="C153">
        <v>-2447.8100000000086</v>
      </c>
      <c r="D153">
        <v>0</v>
      </c>
      <c r="E153">
        <v>421202.08999999997</v>
      </c>
      <c r="F153">
        <v>0</v>
      </c>
      <c r="G153">
        <v>462649.51160862664</v>
      </c>
      <c r="H153">
        <v>0.91041291394750534</v>
      </c>
    </row>
    <row r="154" spans="1:8" x14ac:dyDescent="0.5">
      <c r="A154" s="1">
        <v>43307</v>
      </c>
      <c r="B154">
        <v>418427.10000000003</v>
      </c>
      <c r="C154">
        <v>-2447.8100000000086</v>
      </c>
      <c r="D154">
        <v>0</v>
      </c>
      <c r="E154">
        <v>415979.29000000004</v>
      </c>
      <c r="F154">
        <v>0</v>
      </c>
      <c r="G154">
        <v>462649.51160862664</v>
      </c>
      <c r="H154">
        <v>0.89912402274811698</v>
      </c>
    </row>
    <row r="155" spans="1:8" x14ac:dyDescent="0.5">
      <c r="A155" s="1">
        <v>43308</v>
      </c>
      <c r="B155">
        <v>417284.1</v>
      </c>
      <c r="C155">
        <v>-2447.8100000000086</v>
      </c>
      <c r="D155">
        <v>0</v>
      </c>
      <c r="E155">
        <v>414836.29</v>
      </c>
      <c r="F155">
        <v>0</v>
      </c>
      <c r="G155">
        <v>462649.51160862664</v>
      </c>
      <c r="H155">
        <v>0.89665347004824303</v>
      </c>
    </row>
    <row r="156" spans="1:8" x14ac:dyDescent="0.5">
      <c r="A156" s="1">
        <v>43311</v>
      </c>
      <c r="B156">
        <v>414620.89999999997</v>
      </c>
      <c r="C156">
        <v>-2447.8100000000086</v>
      </c>
      <c r="D156">
        <v>0</v>
      </c>
      <c r="E156">
        <v>412173.08999999997</v>
      </c>
      <c r="F156">
        <v>0</v>
      </c>
      <c r="G156">
        <v>462649.51160862664</v>
      </c>
      <c r="H156">
        <v>0.89089706064290275</v>
      </c>
    </row>
    <row r="157" spans="1:8" x14ac:dyDescent="0.5">
      <c r="A157" s="1">
        <v>43312</v>
      </c>
      <c r="B157">
        <v>416083.6</v>
      </c>
      <c r="C157">
        <v>-2447.8100000000086</v>
      </c>
      <c r="D157">
        <v>0</v>
      </c>
      <c r="E157">
        <v>413635.79</v>
      </c>
      <c r="F157">
        <v>0</v>
      </c>
      <c r="G157">
        <v>462649.51160862664</v>
      </c>
      <c r="H157">
        <v>0.89405863320117518</v>
      </c>
    </row>
    <row r="158" spans="1:8" x14ac:dyDescent="0.5">
      <c r="A158" s="1">
        <v>43313</v>
      </c>
      <c r="B158">
        <v>407005.8</v>
      </c>
      <c r="C158">
        <v>-2447.8100000000086</v>
      </c>
      <c r="D158">
        <v>0</v>
      </c>
      <c r="E158">
        <v>404557.99</v>
      </c>
      <c r="F158">
        <v>0</v>
      </c>
      <c r="G158">
        <v>462649.51160862664</v>
      </c>
      <c r="H158">
        <v>0.87443730048121493</v>
      </c>
    </row>
    <row r="159" spans="1:8" x14ac:dyDescent="0.5">
      <c r="A159" s="1">
        <v>43314</v>
      </c>
      <c r="B159">
        <v>397895.69999999995</v>
      </c>
      <c r="C159">
        <v>-2447.8100000000086</v>
      </c>
      <c r="D159">
        <v>0</v>
      </c>
      <c r="E159">
        <v>395447.88999999996</v>
      </c>
      <c r="F159">
        <v>0</v>
      </c>
      <c r="G159">
        <v>462649.51160862664</v>
      </c>
      <c r="H159">
        <v>0.85474615249248298</v>
      </c>
    </row>
    <row r="160" spans="1:8" x14ac:dyDescent="0.5">
      <c r="A160" s="1">
        <v>43315</v>
      </c>
      <c r="B160">
        <v>392452.8</v>
      </c>
      <c r="C160">
        <v>-2447.8100000000086</v>
      </c>
      <c r="D160">
        <v>0</v>
      </c>
      <c r="E160">
        <v>390004.99</v>
      </c>
      <c r="F160">
        <v>0</v>
      </c>
      <c r="G160">
        <v>462649.51160862664</v>
      </c>
      <c r="H160">
        <v>0.84298152319227027</v>
      </c>
    </row>
    <row r="161" spans="1:8" x14ac:dyDescent="0.5">
      <c r="A161" s="1">
        <v>43318</v>
      </c>
      <c r="B161">
        <v>427577.69999999995</v>
      </c>
      <c r="C161">
        <v>-2102.9100000000071</v>
      </c>
      <c r="D161">
        <v>40000</v>
      </c>
      <c r="E161">
        <v>425474.78999999992</v>
      </c>
      <c r="F161">
        <v>47450.624835197792</v>
      </c>
      <c r="G161">
        <v>510100.13644382445</v>
      </c>
      <c r="H161">
        <v>0.83410052184304007</v>
      </c>
    </row>
    <row r="162" spans="1:8" x14ac:dyDescent="0.5">
      <c r="A162" s="1">
        <v>43319</v>
      </c>
      <c r="B162">
        <v>439267.19999999995</v>
      </c>
      <c r="C162">
        <v>-2102.9100000000071</v>
      </c>
      <c r="D162">
        <v>0</v>
      </c>
      <c r="E162">
        <v>437164.28999999992</v>
      </c>
      <c r="F162">
        <v>0</v>
      </c>
      <c r="G162">
        <v>510100.13644382445</v>
      </c>
      <c r="H162">
        <v>0.85701661059669865</v>
      </c>
    </row>
    <row r="163" spans="1:8" x14ac:dyDescent="0.5">
      <c r="A163" s="1">
        <v>43320</v>
      </c>
      <c r="B163">
        <v>432995.1</v>
      </c>
      <c r="C163">
        <v>-2102.9100000000071</v>
      </c>
      <c r="D163">
        <v>0</v>
      </c>
      <c r="E163">
        <v>430892.18999999994</v>
      </c>
      <c r="F163">
        <v>0</v>
      </c>
      <c r="G163">
        <v>510100.13644382445</v>
      </c>
      <c r="H163">
        <v>0.84472078953747276</v>
      </c>
    </row>
    <row r="164" spans="1:8" x14ac:dyDescent="0.5">
      <c r="A164" s="1">
        <v>43321</v>
      </c>
      <c r="B164">
        <v>443251.20000000001</v>
      </c>
      <c r="C164">
        <v>-2102.9100000000071</v>
      </c>
      <c r="D164">
        <v>0</v>
      </c>
      <c r="E164">
        <v>441148.29</v>
      </c>
      <c r="F164">
        <v>0</v>
      </c>
      <c r="G164">
        <v>510100.13644382445</v>
      </c>
      <c r="H164">
        <v>0.86482684179517388</v>
      </c>
    </row>
    <row r="165" spans="1:8" x14ac:dyDescent="0.5">
      <c r="A165" s="1">
        <v>43322</v>
      </c>
      <c r="B165">
        <v>443961.59999999998</v>
      </c>
      <c r="C165">
        <v>-2102.9100000000071</v>
      </c>
      <c r="D165">
        <v>0</v>
      </c>
      <c r="E165">
        <v>441858.68999999994</v>
      </c>
      <c r="F165">
        <v>0</v>
      </c>
      <c r="G165">
        <v>510100.13644382445</v>
      </c>
      <c r="H165">
        <v>0.86621950952695015</v>
      </c>
    </row>
    <row r="166" spans="1:8" x14ac:dyDescent="0.5">
      <c r="A166" s="1">
        <v>43325</v>
      </c>
      <c r="B166">
        <v>463180.39999999997</v>
      </c>
      <c r="C166">
        <v>-2818.6200000000063</v>
      </c>
      <c r="D166">
        <v>20000</v>
      </c>
      <c r="E166">
        <v>460361.77999999997</v>
      </c>
      <c r="F166">
        <v>23088.835774343355</v>
      </c>
      <c r="G166">
        <v>533188.97221816785</v>
      </c>
      <c r="H166">
        <v>0.86341204336017519</v>
      </c>
    </row>
    <row r="167" spans="1:8" x14ac:dyDescent="0.5">
      <c r="A167" s="1">
        <v>43326</v>
      </c>
      <c r="B167">
        <v>461163.8</v>
      </c>
      <c r="C167">
        <v>-2818.6200000000063</v>
      </c>
      <c r="D167">
        <v>0</v>
      </c>
      <c r="E167">
        <v>458345.18</v>
      </c>
      <c r="F167">
        <v>0</v>
      </c>
      <c r="G167">
        <v>533188.97221816785</v>
      </c>
      <c r="H167">
        <v>0.85962989461915651</v>
      </c>
    </row>
    <row r="168" spans="1:8" x14ac:dyDescent="0.5">
      <c r="A168" s="1">
        <v>43327</v>
      </c>
      <c r="B168">
        <v>450410.19999999995</v>
      </c>
      <c r="C168">
        <v>-2818.6200000000063</v>
      </c>
      <c r="D168">
        <v>0</v>
      </c>
      <c r="E168">
        <v>447591.57999999996</v>
      </c>
      <c r="F168">
        <v>0</v>
      </c>
      <c r="G168">
        <v>533188.97221816785</v>
      </c>
      <c r="H168">
        <v>0.83946143547930785</v>
      </c>
    </row>
    <row r="169" spans="1:8" x14ac:dyDescent="0.5">
      <c r="A169" s="1">
        <v>43328</v>
      </c>
      <c r="B169">
        <v>448497.8</v>
      </c>
      <c r="C169">
        <v>-2818.6200000000063</v>
      </c>
      <c r="D169">
        <v>0</v>
      </c>
      <c r="E169">
        <v>445679.18</v>
      </c>
      <c r="F169">
        <v>0</v>
      </c>
      <c r="G169">
        <v>533188.97221816785</v>
      </c>
      <c r="H169">
        <v>0.83587471463614404</v>
      </c>
    </row>
    <row r="170" spans="1:8" x14ac:dyDescent="0.5">
      <c r="A170" s="1">
        <v>43329</v>
      </c>
      <c r="B170">
        <v>441722</v>
      </c>
      <c r="C170">
        <v>-2818.6200000000063</v>
      </c>
      <c r="D170">
        <v>0</v>
      </c>
      <c r="E170">
        <v>438903.38</v>
      </c>
      <c r="F170">
        <v>0</v>
      </c>
      <c r="G170">
        <v>533188.97221816785</v>
      </c>
      <c r="H170">
        <v>0.82316664985413746</v>
      </c>
    </row>
    <row r="171" spans="1:8" x14ac:dyDescent="0.5">
      <c r="A171" s="1">
        <v>43332</v>
      </c>
      <c r="B171">
        <v>446230.6</v>
      </c>
      <c r="C171">
        <v>-2857.7800000000061</v>
      </c>
      <c r="D171">
        <v>0</v>
      </c>
      <c r="E171">
        <v>443372.81999999995</v>
      </c>
      <c r="F171">
        <v>0</v>
      </c>
      <c r="G171">
        <v>533188.97221816785</v>
      </c>
      <c r="H171">
        <v>0.83154911879644555</v>
      </c>
    </row>
    <row r="172" spans="1:8" x14ac:dyDescent="0.5">
      <c r="A172" s="1">
        <v>43333</v>
      </c>
      <c r="B172">
        <v>453283.5</v>
      </c>
      <c r="C172">
        <v>-2857.7800000000061</v>
      </c>
      <c r="D172">
        <v>0</v>
      </c>
      <c r="E172">
        <v>450425.72</v>
      </c>
      <c r="F172">
        <v>0</v>
      </c>
      <c r="G172">
        <v>533188.97221816785</v>
      </c>
      <c r="H172">
        <v>0.8447768867501948</v>
      </c>
    </row>
    <row r="173" spans="1:8" x14ac:dyDescent="0.5">
      <c r="A173" s="1">
        <v>43334</v>
      </c>
      <c r="B173">
        <v>452335.1</v>
      </c>
      <c r="C173">
        <v>-2857.7800000000061</v>
      </c>
      <c r="D173">
        <v>0</v>
      </c>
      <c r="E173">
        <v>449477.31999999995</v>
      </c>
      <c r="F173">
        <v>0</v>
      </c>
      <c r="G173">
        <v>533188.97221816785</v>
      </c>
      <c r="H173">
        <v>0.8429981552883371</v>
      </c>
    </row>
    <row r="174" spans="1:8" x14ac:dyDescent="0.5">
      <c r="A174" s="1">
        <v>43335</v>
      </c>
      <c r="B174">
        <v>453712.8</v>
      </c>
      <c r="C174">
        <v>-2857.7800000000061</v>
      </c>
      <c r="D174">
        <v>0</v>
      </c>
      <c r="E174">
        <v>450855.01999999996</v>
      </c>
      <c r="F174">
        <v>0</v>
      </c>
      <c r="G174">
        <v>533188.97221816785</v>
      </c>
      <c r="H174">
        <v>0.84558204218732635</v>
      </c>
    </row>
    <row r="175" spans="1:8" x14ac:dyDescent="0.5">
      <c r="A175" s="1">
        <v>43336</v>
      </c>
      <c r="B175">
        <v>454156.39999999997</v>
      </c>
      <c r="C175">
        <v>-2857.7800000000061</v>
      </c>
      <c r="D175">
        <v>0</v>
      </c>
      <c r="E175">
        <v>451298.61999999994</v>
      </c>
      <c r="F175">
        <v>0</v>
      </c>
      <c r="G175">
        <v>533188.97221816785</v>
      </c>
      <c r="H175">
        <v>0.84641401738395217</v>
      </c>
    </row>
    <row r="176" spans="1:8" x14ac:dyDescent="0.5">
      <c r="A176" s="1">
        <v>43339</v>
      </c>
      <c r="B176">
        <v>465142.10000000003</v>
      </c>
      <c r="C176">
        <v>-2857.7800000000061</v>
      </c>
      <c r="D176">
        <v>0</v>
      </c>
      <c r="E176">
        <v>462284.32</v>
      </c>
      <c r="F176">
        <v>0</v>
      </c>
      <c r="G176">
        <v>533188.97221816785</v>
      </c>
      <c r="H176">
        <v>0.86701778185098055</v>
      </c>
    </row>
    <row r="177" spans="1:8" x14ac:dyDescent="0.5">
      <c r="A177" s="1">
        <v>43340</v>
      </c>
      <c r="B177">
        <v>464157.3</v>
      </c>
      <c r="C177">
        <v>-2907.7800000000061</v>
      </c>
      <c r="D177">
        <v>-50</v>
      </c>
      <c r="E177">
        <v>461249.51999999996</v>
      </c>
      <c r="F177">
        <v>-57.66894410545526</v>
      </c>
      <c r="G177">
        <v>533131.30327406235</v>
      </c>
      <c r="H177">
        <v>0.86517058211997222</v>
      </c>
    </row>
    <row r="178" spans="1:8" x14ac:dyDescent="0.5">
      <c r="A178" s="1">
        <v>43341</v>
      </c>
      <c r="B178">
        <v>462493.5</v>
      </c>
      <c r="C178">
        <v>-2907.7800000000061</v>
      </c>
      <c r="D178">
        <v>0</v>
      </c>
      <c r="E178">
        <v>459585.72</v>
      </c>
      <c r="F178">
        <v>0</v>
      </c>
      <c r="G178">
        <v>533131.30327406235</v>
      </c>
      <c r="H178">
        <v>0.86204977493835999</v>
      </c>
    </row>
    <row r="179" spans="1:8" x14ac:dyDescent="0.5">
      <c r="A179" s="1">
        <v>43342</v>
      </c>
      <c r="B179">
        <v>458036.4</v>
      </c>
      <c r="C179">
        <v>-2907.7800000000061</v>
      </c>
      <c r="D179">
        <v>0</v>
      </c>
      <c r="E179">
        <v>455128.62</v>
      </c>
      <c r="F179">
        <v>0</v>
      </c>
      <c r="G179">
        <v>533131.30327406235</v>
      </c>
      <c r="H179">
        <v>0.85368954553027965</v>
      </c>
    </row>
    <row r="180" spans="1:8" x14ac:dyDescent="0.5">
      <c r="A180" s="1">
        <v>43343</v>
      </c>
      <c r="B180">
        <v>454523.5</v>
      </c>
      <c r="C180">
        <v>-2907.7800000000061</v>
      </c>
      <c r="D180">
        <v>0</v>
      </c>
      <c r="E180">
        <v>451615.72</v>
      </c>
      <c r="F180">
        <v>0</v>
      </c>
      <c r="G180">
        <v>533131.30327406235</v>
      </c>
      <c r="H180">
        <v>0.84710036200564587</v>
      </c>
    </row>
    <row r="181" spans="1:8" x14ac:dyDescent="0.5">
      <c r="A181" s="1">
        <v>43346</v>
      </c>
      <c r="B181">
        <v>493374.9</v>
      </c>
      <c r="C181">
        <v>-2530.1600000000071</v>
      </c>
      <c r="D181">
        <v>40000</v>
      </c>
      <c r="E181">
        <v>490844.74</v>
      </c>
      <c r="F181">
        <v>47219.906629827885</v>
      </c>
      <c r="G181">
        <v>580351.20990389027</v>
      </c>
      <c r="H181">
        <v>0.84577189057861513</v>
      </c>
    </row>
    <row r="182" spans="1:8" x14ac:dyDescent="0.5">
      <c r="A182" s="1">
        <v>43347</v>
      </c>
      <c r="B182">
        <v>498841.00000000006</v>
      </c>
      <c r="C182">
        <v>-2530.1600000000071</v>
      </c>
      <c r="D182">
        <v>0</v>
      </c>
      <c r="E182">
        <v>496310.84</v>
      </c>
      <c r="F182">
        <v>0</v>
      </c>
      <c r="G182">
        <v>580351.20990389027</v>
      </c>
      <c r="H182">
        <v>0.85519049763365218</v>
      </c>
    </row>
    <row r="183" spans="1:8" x14ac:dyDescent="0.5">
      <c r="A183" s="1">
        <v>43348</v>
      </c>
      <c r="B183">
        <v>509542.5</v>
      </c>
      <c r="C183">
        <v>-2899.070000000007</v>
      </c>
      <c r="D183">
        <v>20000</v>
      </c>
      <c r="E183">
        <v>506643.43</v>
      </c>
      <c r="F183">
        <v>23386.602231129596</v>
      </c>
      <c r="G183">
        <v>603737.81213501981</v>
      </c>
      <c r="H183">
        <v>0.83917790109640233</v>
      </c>
    </row>
    <row r="184" spans="1:8" x14ac:dyDescent="0.5">
      <c r="A184" s="1">
        <v>43349</v>
      </c>
      <c r="B184">
        <v>506105.8</v>
      </c>
      <c r="C184">
        <v>-2891.6400000000067</v>
      </c>
      <c r="D184">
        <v>0</v>
      </c>
      <c r="E184">
        <v>503214.16</v>
      </c>
      <c r="F184">
        <v>0</v>
      </c>
      <c r="G184">
        <v>603737.81213501981</v>
      </c>
      <c r="H184">
        <v>0.83349783612271289</v>
      </c>
    </row>
    <row r="185" spans="1:8" x14ac:dyDescent="0.5">
      <c r="A185" s="1">
        <v>43350</v>
      </c>
      <c r="B185">
        <v>507963.5</v>
      </c>
      <c r="C185">
        <v>-2891.6400000000067</v>
      </c>
      <c r="D185">
        <v>0</v>
      </c>
      <c r="E185">
        <v>505071.86</v>
      </c>
      <c r="F185">
        <v>0</v>
      </c>
      <c r="G185">
        <v>603737.81213501981</v>
      </c>
      <c r="H185">
        <v>0.83657483405569077</v>
      </c>
    </row>
    <row r="186" spans="1:8" x14ac:dyDescent="0.5">
      <c r="A186" s="1">
        <v>43353</v>
      </c>
      <c r="B186">
        <v>500875.9</v>
      </c>
      <c r="C186">
        <v>-2891.6400000000067</v>
      </c>
      <c r="D186">
        <v>0</v>
      </c>
      <c r="E186">
        <v>497984.26</v>
      </c>
      <c r="F186">
        <v>0</v>
      </c>
      <c r="G186">
        <v>603737.81213501981</v>
      </c>
      <c r="H186">
        <v>0.82483530100418978</v>
      </c>
    </row>
    <row r="187" spans="1:8" x14ac:dyDescent="0.5">
      <c r="A187" s="1">
        <v>43354</v>
      </c>
      <c r="B187">
        <v>500284.6</v>
      </c>
      <c r="C187">
        <v>-2891.6400000000067</v>
      </c>
      <c r="D187">
        <v>0</v>
      </c>
      <c r="E187">
        <v>497392.95999999996</v>
      </c>
      <c r="F187">
        <v>0</v>
      </c>
      <c r="G187">
        <v>603737.81213501981</v>
      </c>
      <c r="H187">
        <v>0.82385590235114026</v>
      </c>
    </row>
    <row r="188" spans="1:8" x14ac:dyDescent="0.5">
      <c r="A188" s="1">
        <v>43355</v>
      </c>
      <c r="B188">
        <v>498253.99999999994</v>
      </c>
      <c r="C188">
        <v>-2891.6400000000067</v>
      </c>
      <c r="D188">
        <v>0</v>
      </c>
      <c r="E188">
        <v>495362.35999999993</v>
      </c>
      <c r="F188">
        <v>0</v>
      </c>
      <c r="G188">
        <v>603737.81213501981</v>
      </c>
      <c r="H188">
        <v>0.82049252182538002</v>
      </c>
    </row>
    <row r="189" spans="1:8" x14ac:dyDescent="0.5">
      <c r="A189" s="1">
        <v>43356</v>
      </c>
      <c r="B189">
        <v>503553.9</v>
      </c>
      <c r="C189">
        <v>-2891.6400000000067</v>
      </c>
      <c r="D189">
        <v>0</v>
      </c>
      <c r="E189">
        <v>500662.26</v>
      </c>
      <c r="F189">
        <v>0</v>
      </c>
      <c r="G189">
        <v>603737.81213501981</v>
      </c>
      <c r="H189">
        <v>0.82927100131345099</v>
      </c>
    </row>
    <row r="190" spans="1:8" x14ac:dyDescent="0.5">
      <c r="A190" s="1">
        <v>43357</v>
      </c>
      <c r="B190">
        <v>501792.19999999995</v>
      </c>
      <c r="C190">
        <v>-2905.4000000000087</v>
      </c>
      <c r="D190">
        <v>0</v>
      </c>
      <c r="E190">
        <v>498886.79999999993</v>
      </c>
      <c r="F190">
        <v>0</v>
      </c>
      <c r="G190">
        <v>603737.81213501981</v>
      </c>
      <c r="H190">
        <v>0.82633022145121005</v>
      </c>
    </row>
    <row r="191" spans="1:8" x14ac:dyDescent="0.5">
      <c r="A191" s="1">
        <v>43360</v>
      </c>
      <c r="B191">
        <v>497296</v>
      </c>
      <c r="C191">
        <v>-2905.4000000000087</v>
      </c>
      <c r="D191">
        <v>0</v>
      </c>
      <c r="E191">
        <v>494390.6</v>
      </c>
      <c r="F191">
        <v>0</v>
      </c>
      <c r="G191">
        <v>603737.81213501981</v>
      </c>
      <c r="H191">
        <v>0.81888294896035863</v>
      </c>
    </row>
    <row r="192" spans="1:8" x14ac:dyDescent="0.5">
      <c r="A192" s="1">
        <v>43361</v>
      </c>
      <c r="B192">
        <v>505945.2</v>
      </c>
      <c r="C192">
        <v>-2905.4000000000087</v>
      </c>
      <c r="D192">
        <v>0</v>
      </c>
      <c r="E192">
        <v>503039.8</v>
      </c>
      <c r="F192">
        <v>0</v>
      </c>
      <c r="G192">
        <v>603737.81213501981</v>
      </c>
      <c r="H192">
        <v>0.83320903526165135</v>
      </c>
    </row>
    <row r="193" spans="1:8" x14ac:dyDescent="0.5">
      <c r="A193" s="1">
        <v>43362</v>
      </c>
      <c r="B193">
        <v>512456.5</v>
      </c>
      <c r="C193">
        <v>-2905.4000000000087</v>
      </c>
      <c r="D193">
        <v>0</v>
      </c>
      <c r="E193">
        <v>509551.1</v>
      </c>
      <c r="F193">
        <v>0</v>
      </c>
      <c r="G193">
        <v>603737.81213501981</v>
      </c>
      <c r="H193">
        <v>0.84399401488214898</v>
      </c>
    </row>
    <row r="194" spans="1:8" x14ac:dyDescent="0.5">
      <c r="A194" s="1">
        <v>43363</v>
      </c>
      <c r="B194">
        <v>511020.60000000003</v>
      </c>
      <c r="C194">
        <v>-2903.4700000000089</v>
      </c>
      <c r="D194">
        <v>0</v>
      </c>
      <c r="E194">
        <v>508117.13</v>
      </c>
      <c r="F194">
        <v>0</v>
      </c>
      <c r="G194">
        <v>603737.81213501981</v>
      </c>
      <c r="H194">
        <v>0.84161886134500519</v>
      </c>
    </row>
    <row r="195" spans="1:8" x14ac:dyDescent="0.5">
      <c r="A195" s="1">
        <v>43364</v>
      </c>
      <c r="B195">
        <v>524159.4</v>
      </c>
      <c r="C195">
        <v>-2903.4700000000089</v>
      </c>
      <c r="D195">
        <v>0</v>
      </c>
      <c r="E195">
        <v>521255.93</v>
      </c>
      <c r="F195">
        <v>0</v>
      </c>
      <c r="G195">
        <v>603737.81213501981</v>
      </c>
      <c r="H195">
        <v>0.86338128823944926</v>
      </c>
    </row>
    <row r="196" spans="1:8" x14ac:dyDescent="0.5">
      <c r="A196" s="1">
        <v>43368</v>
      </c>
      <c r="B196">
        <v>520461.2</v>
      </c>
      <c r="C196">
        <v>-2903.4700000000089</v>
      </c>
      <c r="D196">
        <v>0</v>
      </c>
      <c r="E196">
        <v>517557.73</v>
      </c>
      <c r="F196">
        <v>0</v>
      </c>
      <c r="G196">
        <v>603737.81213501981</v>
      </c>
      <c r="H196">
        <v>0.85725578156143956</v>
      </c>
    </row>
    <row r="197" spans="1:8" x14ac:dyDescent="0.5">
      <c r="A197" s="1">
        <v>43369</v>
      </c>
      <c r="B197">
        <v>524862.60000000009</v>
      </c>
      <c r="C197">
        <v>-2903.4700000000089</v>
      </c>
      <c r="D197">
        <v>0</v>
      </c>
      <c r="E197">
        <v>521959.13000000006</v>
      </c>
      <c r="F197">
        <v>0</v>
      </c>
      <c r="G197">
        <v>603737.81213501981</v>
      </c>
      <c r="H197">
        <v>0.86454603224896109</v>
      </c>
    </row>
    <row r="198" spans="1:8" x14ac:dyDescent="0.5">
      <c r="A198" s="1">
        <v>43370</v>
      </c>
      <c r="B198">
        <v>521292.89999999997</v>
      </c>
      <c r="C198">
        <v>-2903.4700000000089</v>
      </c>
      <c r="D198">
        <v>0</v>
      </c>
      <c r="E198">
        <v>518389.42999999993</v>
      </c>
      <c r="F198">
        <v>0</v>
      </c>
      <c r="G198">
        <v>603737.81213501981</v>
      </c>
      <c r="H198">
        <v>0.8586333663064778</v>
      </c>
    </row>
    <row r="199" spans="1:8" x14ac:dyDescent="0.5">
      <c r="A199" s="1">
        <v>43371</v>
      </c>
      <c r="B199">
        <v>525943.79999999993</v>
      </c>
      <c r="C199">
        <v>-2903.4700000000089</v>
      </c>
      <c r="D199">
        <v>0</v>
      </c>
      <c r="E199">
        <v>523040.3299999999</v>
      </c>
      <c r="F199">
        <v>0</v>
      </c>
      <c r="G199">
        <v>603737.81213501981</v>
      </c>
      <c r="H199">
        <v>0.8663368758540293</v>
      </c>
    </row>
    <row r="200" spans="1:8" x14ac:dyDescent="0.5">
      <c r="A200" s="1">
        <v>43381</v>
      </c>
      <c r="B200">
        <v>503344.4</v>
      </c>
      <c r="C200">
        <v>-2903.4700000000089</v>
      </c>
      <c r="D200">
        <v>0</v>
      </c>
      <c r="E200">
        <v>500440.93</v>
      </c>
      <c r="F200">
        <v>0</v>
      </c>
      <c r="G200">
        <v>603737.81213501981</v>
      </c>
      <c r="H200">
        <v>0.82890440178042302</v>
      </c>
    </row>
    <row r="201" spans="1:8" x14ac:dyDescent="0.5">
      <c r="A201" s="1">
        <v>43382</v>
      </c>
      <c r="B201">
        <v>502030.5</v>
      </c>
      <c r="C201">
        <v>-2903.4700000000089</v>
      </c>
      <c r="D201">
        <v>0</v>
      </c>
      <c r="E201">
        <v>499127.02999999997</v>
      </c>
      <c r="F201">
        <v>0</v>
      </c>
      <c r="G201">
        <v>603737.81213501981</v>
      </c>
      <c r="H201">
        <v>0.82672812596401579</v>
      </c>
    </row>
    <row r="202" spans="1:8" x14ac:dyDescent="0.5">
      <c r="A202" s="1">
        <v>43383</v>
      </c>
      <c r="B202">
        <v>502673</v>
      </c>
      <c r="C202">
        <v>-2903.4700000000089</v>
      </c>
      <c r="D202">
        <v>0</v>
      </c>
      <c r="E202">
        <v>499769.52999999997</v>
      </c>
      <c r="F202">
        <v>0</v>
      </c>
      <c r="G202">
        <v>603737.81213501981</v>
      </c>
      <c r="H202">
        <v>0.82779232964164851</v>
      </c>
    </row>
    <row r="203" spans="1:8" x14ac:dyDescent="0.5">
      <c r="A203" s="1">
        <v>43384</v>
      </c>
      <c r="B203">
        <v>474089.2</v>
      </c>
      <c r="C203">
        <v>-2903.4700000000089</v>
      </c>
      <c r="D203">
        <v>0</v>
      </c>
      <c r="E203">
        <v>471185.73</v>
      </c>
      <c r="F203">
        <v>0</v>
      </c>
      <c r="G203">
        <v>603737.81213501981</v>
      </c>
      <c r="H203">
        <v>0.78044760578061012</v>
      </c>
    </row>
    <row r="204" spans="1:8" x14ac:dyDescent="0.5">
      <c r="A204" s="1">
        <v>43385</v>
      </c>
      <c r="B204">
        <v>482148.6</v>
      </c>
      <c r="C204">
        <v>-2903.4700000000089</v>
      </c>
      <c r="D204">
        <v>0</v>
      </c>
      <c r="E204">
        <v>479245.12999999995</v>
      </c>
      <c r="F204">
        <v>0</v>
      </c>
      <c r="G204">
        <v>603737.81213501981</v>
      </c>
      <c r="H204">
        <v>0.79379677795105807</v>
      </c>
    </row>
    <row r="205" spans="1:8" x14ac:dyDescent="0.5">
      <c r="A205" s="1">
        <v>43388</v>
      </c>
      <c r="B205">
        <v>475973.00000000006</v>
      </c>
      <c r="C205">
        <v>-2903.4700000000089</v>
      </c>
      <c r="D205">
        <v>0</v>
      </c>
      <c r="E205">
        <v>473069.53</v>
      </c>
      <c r="F205">
        <v>0</v>
      </c>
      <c r="G205">
        <v>603737.81213501981</v>
      </c>
      <c r="H205">
        <v>0.78356783439994782</v>
      </c>
    </row>
    <row r="206" spans="1:8" x14ac:dyDescent="0.5">
      <c r="A206" s="1">
        <v>43389</v>
      </c>
      <c r="B206">
        <v>472123.7</v>
      </c>
      <c r="C206">
        <v>-2903.4700000000089</v>
      </c>
      <c r="D206">
        <v>0</v>
      </c>
      <c r="E206">
        <v>469220.23</v>
      </c>
      <c r="F206">
        <v>0</v>
      </c>
      <c r="G206">
        <v>603737.81213501981</v>
      </c>
      <c r="H206">
        <v>0.77719205351852905</v>
      </c>
    </row>
    <row r="207" spans="1:8" x14ac:dyDescent="0.5">
      <c r="A207" s="1">
        <v>43390</v>
      </c>
      <c r="B207">
        <v>473896.6</v>
      </c>
      <c r="C207">
        <v>-2903.4700000000089</v>
      </c>
      <c r="D207">
        <v>0</v>
      </c>
      <c r="E207">
        <v>470993.12999999995</v>
      </c>
      <c r="F207">
        <v>0</v>
      </c>
      <c r="G207">
        <v>603737.81213501981</v>
      </c>
      <c r="H207">
        <v>0.78012859312954075</v>
      </c>
    </row>
    <row r="208" spans="1:8" x14ac:dyDescent="0.5">
      <c r="A208" s="1">
        <v>43391</v>
      </c>
      <c r="B208">
        <v>463551.50000000006</v>
      </c>
      <c r="C208">
        <v>-2903.4700000000089</v>
      </c>
      <c r="D208">
        <v>0</v>
      </c>
      <c r="E208">
        <v>460648.03</v>
      </c>
      <c r="F208">
        <v>0</v>
      </c>
      <c r="G208">
        <v>603737.81213501981</v>
      </c>
      <c r="H208">
        <v>0.76299350602373861</v>
      </c>
    </row>
    <row r="209" spans="1:8" x14ac:dyDescent="0.5">
      <c r="A209" s="1">
        <v>43392</v>
      </c>
      <c r="B209">
        <v>474472.2</v>
      </c>
      <c r="C209">
        <v>-2903.4700000000089</v>
      </c>
      <c r="D209">
        <v>0</v>
      </c>
      <c r="E209">
        <v>471568.73</v>
      </c>
      <c r="F209">
        <v>0</v>
      </c>
      <c r="G209">
        <v>603737.81213501981</v>
      </c>
      <c r="H209">
        <v>0.78108198711684873</v>
      </c>
    </row>
    <row r="210" spans="1:8" x14ac:dyDescent="0.5">
      <c r="A210" s="1">
        <v>43395</v>
      </c>
      <c r="B210">
        <v>498200.2</v>
      </c>
      <c r="C210">
        <v>-2903.4700000000089</v>
      </c>
      <c r="D210">
        <v>0</v>
      </c>
      <c r="E210">
        <v>495296.73</v>
      </c>
      <c r="F210">
        <v>0</v>
      </c>
      <c r="G210">
        <v>603737.81213501981</v>
      </c>
      <c r="H210">
        <v>0.82038381569718866</v>
      </c>
    </row>
    <row r="211" spans="1:8" x14ac:dyDescent="0.5">
      <c r="A211" s="1">
        <v>43396</v>
      </c>
      <c r="B211">
        <v>483715.8</v>
      </c>
      <c r="C211">
        <v>-2903.4700000000089</v>
      </c>
      <c r="D211">
        <v>0</v>
      </c>
      <c r="E211">
        <v>480812.32999999996</v>
      </c>
      <c r="F211">
        <v>0</v>
      </c>
      <c r="G211">
        <v>603737.81213501981</v>
      </c>
      <c r="H211">
        <v>0.79639260675041368</v>
      </c>
    </row>
    <row r="212" spans="1:8" x14ac:dyDescent="0.5">
      <c r="A212" s="1">
        <v>43397</v>
      </c>
      <c r="B212">
        <v>484556.89999999997</v>
      </c>
      <c r="C212">
        <v>-2903.4700000000089</v>
      </c>
      <c r="D212">
        <v>0</v>
      </c>
      <c r="E212">
        <v>481653.42999999993</v>
      </c>
      <c r="F212">
        <v>0</v>
      </c>
      <c r="G212">
        <v>603737.81213501981</v>
      </c>
      <c r="H212">
        <v>0.79778576116793398</v>
      </c>
    </row>
    <row r="213" spans="1:8" x14ac:dyDescent="0.5">
      <c r="A213" s="1">
        <v>43398</v>
      </c>
      <c r="B213">
        <v>484896</v>
      </c>
      <c r="C213">
        <v>-2903.4700000000089</v>
      </c>
      <c r="D213">
        <v>0</v>
      </c>
      <c r="E213">
        <v>481992.52999999997</v>
      </c>
      <c r="F213">
        <v>0</v>
      </c>
      <c r="G213">
        <v>603737.81213501981</v>
      </c>
      <c r="H213">
        <v>0.79834742882098508</v>
      </c>
    </row>
    <row r="214" spans="1:8" x14ac:dyDescent="0.5">
      <c r="A214" s="1">
        <v>43399</v>
      </c>
      <c r="B214">
        <v>481068.2</v>
      </c>
      <c r="C214">
        <v>-2903.4700000000089</v>
      </c>
      <c r="D214">
        <v>0</v>
      </c>
      <c r="E214">
        <v>478164.73</v>
      </c>
      <c r="F214">
        <v>0</v>
      </c>
      <c r="G214">
        <v>603737.81213501981</v>
      </c>
      <c r="H214">
        <v>0.7920072594244989</v>
      </c>
    </row>
    <row r="215" spans="1:8" x14ac:dyDescent="0.5">
      <c r="A215" s="1">
        <v>43402</v>
      </c>
      <c r="B215">
        <v>468996.80000000005</v>
      </c>
      <c r="C215">
        <v>47096.529999999992</v>
      </c>
      <c r="D215">
        <v>50000</v>
      </c>
      <c r="E215">
        <v>516093.33</v>
      </c>
      <c r="F215">
        <v>63130.734478787235</v>
      </c>
      <c r="G215">
        <v>666868.54661380709</v>
      </c>
      <c r="H215">
        <v>0.77390564095516845</v>
      </c>
    </row>
    <row r="216" spans="1:8" x14ac:dyDescent="0.5">
      <c r="A216" s="1">
        <v>43403</v>
      </c>
      <c r="B216">
        <v>474018.1</v>
      </c>
      <c r="C216">
        <v>47096.529999999992</v>
      </c>
      <c r="D216">
        <v>0</v>
      </c>
      <c r="E216">
        <v>521114.62999999995</v>
      </c>
      <c r="F216">
        <v>0</v>
      </c>
      <c r="G216">
        <v>666868.54661380709</v>
      </c>
      <c r="H216">
        <v>0.7814353108211366</v>
      </c>
    </row>
    <row r="217" spans="1:8" x14ac:dyDescent="0.5">
      <c r="A217" s="1">
        <v>43404</v>
      </c>
      <c r="B217">
        <v>479479.30000000005</v>
      </c>
      <c r="C217">
        <v>47096.529999999992</v>
      </c>
      <c r="D217">
        <v>0</v>
      </c>
      <c r="E217">
        <v>526575.83000000007</v>
      </c>
      <c r="F217">
        <v>0</v>
      </c>
      <c r="G217">
        <v>666868.54661380709</v>
      </c>
      <c r="H217">
        <v>0.78962463093187019</v>
      </c>
    </row>
    <row r="218" spans="1:8" x14ac:dyDescent="0.5">
      <c r="A218" s="1">
        <v>43405</v>
      </c>
      <c r="B218">
        <v>483053.5</v>
      </c>
      <c r="C218">
        <v>47096.529999999992</v>
      </c>
      <c r="D218">
        <v>0</v>
      </c>
      <c r="E218">
        <v>530150.03</v>
      </c>
      <c r="F218">
        <v>0</v>
      </c>
      <c r="G218">
        <v>666868.54661380709</v>
      </c>
      <c r="H218">
        <v>0.79498430791491104</v>
      </c>
    </row>
    <row r="219" spans="1:8" x14ac:dyDescent="0.5">
      <c r="A219" s="1">
        <v>43406</v>
      </c>
      <c r="B219">
        <v>501061.60000000003</v>
      </c>
      <c r="C219">
        <v>47096.529999999992</v>
      </c>
      <c r="D219">
        <v>0</v>
      </c>
      <c r="E219">
        <v>548158.13</v>
      </c>
      <c r="F219">
        <v>0</v>
      </c>
      <c r="G219">
        <v>666868.54661380709</v>
      </c>
      <c r="H219">
        <v>0.82198828057405149</v>
      </c>
    </row>
    <row r="220" spans="1:8" x14ac:dyDescent="0.5">
      <c r="A220" s="1">
        <v>43409</v>
      </c>
      <c r="B220">
        <v>496153.19999999995</v>
      </c>
      <c r="C220">
        <v>47096.529999999992</v>
      </c>
      <c r="D220">
        <v>0</v>
      </c>
      <c r="E220">
        <v>543249.73</v>
      </c>
      <c r="F220">
        <v>0</v>
      </c>
      <c r="G220">
        <v>666868.54661380709</v>
      </c>
      <c r="H220">
        <v>0.81462790944105434</v>
      </c>
    </row>
    <row r="221" spans="1:8" x14ac:dyDescent="0.5">
      <c r="A221" s="1">
        <v>43410</v>
      </c>
      <c r="B221">
        <v>493860.9</v>
      </c>
      <c r="C221">
        <v>47096.529999999992</v>
      </c>
      <c r="D221">
        <v>0</v>
      </c>
      <c r="E221">
        <v>540957.43000000005</v>
      </c>
      <c r="F221">
        <v>0</v>
      </c>
      <c r="G221">
        <v>666868.54661380709</v>
      </c>
      <c r="H221">
        <v>0.8111905003570008</v>
      </c>
    </row>
    <row r="222" spans="1:8" x14ac:dyDescent="0.5">
      <c r="A222" s="1">
        <v>43411</v>
      </c>
      <c r="B222">
        <v>490134.39999999997</v>
      </c>
      <c r="C222">
        <v>47096.529999999992</v>
      </c>
      <c r="D222">
        <v>0</v>
      </c>
      <c r="E222">
        <v>537230.92999999993</v>
      </c>
      <c r="F222">
        <v>0</v>
      </c>
      <c r="G222">
        <v>666868.54661380709</v>
      </c>
      <c r="H222">
        <v>0.80560244253222801</v>
      </c>
    </row>
    <row r="223" spans="1:8" x14ac:dyDescent="0.5">
      <c r="A223" s="1">
        <v>43412</v>
      </c>
      <c r="B223">
        <v>489073.09999999992</v>
      </c>
      <c r="C223">
        <v>47096.529999999992</v>
      </c>
      <c r="D223">
        <v>0</v>
      </c>
      <c r="E223">
        <v>536169.62999999989</v>
      </c>
      <c r="F223">
        <v>0</v>
      </c>
      <c r="G223">
        <v>666868.54661380709</v>
      </c>
      <c r="H223">
        <v>0.80401097446046321</v>
      </c>
    </row>
    <row r="224" spans="1:8" x14ac:dyDescent="0.5">
      <c r="A224" s="1">
        <v>43413</v>
      </c>
      <c r="B224">
        <v>484075.69999999995</v>
      </c>
      <c r="C224">
        <v>97096.53</v>
      </c>
      <c r="D224">
        <v>50000</v>
      </c>
      <c r="E224">
        <v>581172.23</v>
      </c>
      <c r="F224">
        <v>62188.205868151024</v>
      </c>
      <c r="G224">
        <v>729056.75248195813</v>
      </c>
      <c r="H224">
        <v>0.79715636405738133</v>
      </c>
    </row>
    <row r="225" spans="1:8" x14ac:dyDescent="0.5">
      <c r="A225" s="1">
        <v>43416</v>
      </c>
      <c r="B225">
        <v>490344.89999999997</v>
      </c>
      <c r="C225">
        <v>97096.53</v>
      </c>
      <c r="D225">
        <v>0</v>
      </c>
      <c r="E225">
        <v>587441.42999999993</v>
      </c>
      <c r="F225">
        <v>0</v>
      </c>
      <c r="G225">
        <v>729056.75248195813</v>
      </c>
      <c r="H225">
        <v>0.80575542027441449</v>
      </c>
    </row>
    <row r="226" spans="1:8" x14ac:dyDescent="0.5">
      <c r="A226" s="1">
        <v>43417</v>
      </c>
      <c r="B226">
        <v>494797.4</v>
      </c>
      <c r="C226">
        <v>97096.53</v>
      </c>
      <c r="D226">
        <v>0</v>
      </c>
      <c r="E226">
        <v>591893.93000000005</v>
      </c>
      <c r="F226">
        <v>0</v>
      </c>
      <c r="G226">
        <v>729056.75248195813</v>
      </c>
      <c r="H226">
        <v>0.81186262658564101</v>
      </c>
    </row>
    <row r="227" spans="1:8" x14ac:dyDescent="0.5">
      <c r="A227" s="1">
        <v>43418</v>
      </c>
      <c r="B227">
        <v>489602.2</v>
      </c>
      <c r="C227">
        <v>97096.53</v>
      </c>
      <c r="D227">
        <v>0</v>
      </c>
      <c r="E227">
        <v>586698.73</v>
      </c>
      <c r="F227">
        <v>0</v>
      </c>
      <c r="G227">
        <v>729056.75248195813</v>
      </c>
      <c r="H227">
        <v>0.80473670671408937</v>
      </c>
    </row>
    <row r="228" spans="1:8" x14ac:dyDescent="0.5">
      <c r="A228" s="1">
        <v>43419</v>
      </c>
      <c r="B228">
        <v>496730.19999999995</v>
      </c>
      <c r="C228">
        <v>97096.53</v>
      </c>
      <c r="D228">
        <v>0</v>
      </c>
      <c r="E228">
        <v>593826.73</v>
      </c>
      <c r="F228">
        <v>0</v>
      </c>
      <c r="G228">
        <v>729056.75248195813</v>
      </c>
      <c r="H228">
        <v>0.81451372335337546</v>
      </c>
    </row>
    <row r="229" spans="1:8" x14ac:dyDescent="0.5">
      <c r="A229" s="1">
        <v>43420</v>
      </c>
      <c r="B229">
        <v>497888.4</v>
      </c>
      <c r="C229">
        <v>97096.53</v>
      </c>
      <c r="D229">
        <v>0</v>
      </c>
      <c r="E229">
        <v>594984.93000000005</v>
      </c>
      <c r="F229">
        <v>0</v>
      </c>
      <c r="G229">
        <v>729056.75248195813</v>
      </c>
      <c r="H229">
        <v>0.81610235139372644</v>
      </c>
    </row>
    <row r="230" spans="1:8" x14ac:dyDescent="0.5">
      <c r="A230" s="1">
        <v>43423</v>
      </c>
      <c r="B230">
        <v>502266</v>
      </c>
      <c r="C230">
        <v>97096.53</v>
      </c>
      <c r="D230">
        <v>0</v>
      </c>
      <c r="E230">
        <v>599362.53</v>
      </c>
      <c r="F230">
        <v>0</v>
      </c>
      <c r="G230">
        <v>729056.75248195813</v>
      </c>
      <c r="H230">
        <v>0.82210682221866171</v>
      </c>
    </row>
    <row r="231" spans="1:8" x14ac:dyDescent="0.5">
      <c r="A231" s="1">
        <v>43424</v>
      </c>
      <c r="B231">
        <v>492706.39999999997</v>
      </c>
      <c r="C231">
        <v>97096.53</v>
      </c>
      <c r="D231">
        <v>0</v>
      </c>
      <c r="E231">
        <v>589802.92999999993</v>
      </c>
      <c r="F231">
        <v>0</v>
      </c>
      <c r="G231">
        <v>729056.75248195813</v>
      </c>
      <c r="H231">
        <v>0.80899453710854385</v>
      </c>
    </row>
    <row r="232" spans="1:8" x14ac:dyDescent="0.5">
      <c r="A232" s="1">
        <v>43425</v>
      </c>
      <c r="B232">
        <v>492688.7</v>
      </c>
      <c r="C232">
        <v>97096.53</v>
      </c>
      <c r="D232">
        <v>0</v>
      </c>
      <c r="E232">
        <v>589785.23</v>
      </c>
      <c r="F232">
        <v>0</v>
      </c>
      <c r="G232">
        <v>729056.75248195813</v>
      </c>
      <c r="H232">
        <v>0.80897025916318543</v>
      </c>
    </row>
    <row r="233" spans="1:8" x14ac:dyDescent="0.5">
      <c r="A233" s="1">
        <v>43426</v>
      </c>
      <c r="B233">
        <v>491813.5</v>
      </c>
      <c r="C233">
        <v>97096.53</v>
      </c>
      <c r="D233">
        <v>0</v>
      </c>
      <c r="E233">
        <v>588910.03</v>
      </c>
      <c r="F233">
        <v>0</v>
      </c>
      <c r="G233">
        <v>729056.75248195813</v>
      </c>
      <c r="H233">
        <v>0.80776980392150433</v>
      </c>
    </row>
    <row r="234" spans="1:8" x14ac:dyDescent="0.5">
      <c r="A234" s="1">
        <v>43427</v>
      </c>
      <c r="B234">
        <v>478084.29999999993</v>
      </c>
      <c r="C234">
        <v>97096.53</v>
      </c>
      <c r="D234">
        <v>0</v>
      </c>
      <c r="E234">
        <v>575180.82999999996</v>
      </c>
      <c r="F234">
        <v>0</v>
      </c>
      <c r="G234">
        <v>729056.75248195813</v>
      </c>
      <c r="H234">
        <v>0.78893834813529673</v>
      </c>
    </row>
    <row r="235" spans="1:8" x14ac:dyDescent="0.5">
      <c r="A235" s="1">
        <v>43430</v>
      </c>
      <c r="B235">
        <v>478769.59999999992</v>
      </c>
      <c r="C235">
        <v>97096.53</v>
      </c>
      <c r="D235">
        <v>0</v>
      </c>
      <c r="E235">
        <v>575866.12999999989</v>
      </c>
      <c r="F235">
        <v>0</v>
      </c>
      <c r="G235">
        <v>729056.75248195813</v>
      </c>
      <c r="H235">
        <v>0.78987832982762307</v>
      </c>
    </row>
    <row r="236" spans="1:8" x14ac:dyDescent="0.5">
      <c r="A236" s="1">
        <v>43431</v>
      </c>
      <c r="B236">
        <v>479610.4</v>
      </c>
      <c r="C236">
        <v>127096.53</v>
      </c>
      <c r="D236">
        <v>30000</v>
      </c>
      <c r="E236">
        <v>606706.93000000005</v>
      </c>
      <c r="F236">
        <v>37980.533035444794</v>
      </c>
      <c r="G236">
        <v>767037.28551740292</v>
      </c>
      <c r="H236">
        <v>0.79097449557585398</v>
      </c>
    </row>
    <row r="237" spans="1:8" x14ac:dyDescent="0.5">
      <c r="A237" s="1">
        <v>43432</v>
      </c>
      <c r="B237">
        <v>486189.9</v>
      </c>
      <c r="C237">
        <v>127096.53</v>
      </c>
      <c r="D237">
        <v>0</v>
      </c>
      <c r="E237">
        <v>613286.43000000005</v>
      </c>
      <c r="F237">
        <v>0</v>
      </c>
      <c r="G237">
        <v>767037.28551740292</v>
      </c>
      <c r="H237">
        <v>0.79955230544798006</v>
      </c>
    </row>
    <row r="238" spans="1:8" x14ac:dyDescent="0.5">
      <c r="A238" s="1">
        <v>43433</v>
      </c>
      <c r="B238">
        <v>481214.10000000003</v>
      </c>
      <c r="C238">
        <v>127096.53</v>
      </c>
      <c r="D238">
        <v>0</v>
      </c>
      <c r="E238">
        <v>608310.63</v>
      </c>
      <c r="F238">
        <v>0</v>
      </c>
      <c r="G238">
        <v>767037.28551740292</v>
      </c>
      <c r="H238">
        <v>0.79306526747218775</v>
      </c>
    </row>
    <row r="239" spans="1:8" x14ac:dyDescent="0.5">
      <c r="A239" s="1">
        <v>43434</v>
      </c>
      <c r="B239">
        <v>485275.7</v>
      </c>
      <c r="C239">
        <v>127096.53</v>
      </c>
      <c r="D239">
        <v>0</v>
      </c>
      <c r="E239">
        <v>612372.23</v>
      </c>
      <c r="F239">
        <v>0</v>
      </c>
      <c r="G239">
        <v>767037.28551740292</v>
      </c>
      <c r="H239">
        <v>0.79836044682876917</v>
      </c>
    </row>
    <row r="240" spans="1:8" x14ac:dyDescent="0.5">
      <c r="A240" s="1">
        <v>43437</v>
      </c>
      <c r="B240">
        <v>497937</v>
      </c>
      <c r="C240">
        <v>127096.53</v>
      </c>
      <c r="D240">
        <v>0</v>
      </c>
      <c r="E240">
        <v>625033.53</v>
      </c>
      <c r="F240">
        <v>0</v>
      </c>
      <c r="G240">
        <v>767037.28551740292</v>
      </c>
      <c r="H240">
        <v>0.81486720632933163</v>
      </c>
    </row>
    <row r="241" spans="1:8" x14ac:dyDescent="0.5">
      <c r="A241" s="1">
        <v>43438</v>
      </c>
      <c r="B241">
        <v>497960.1</v>
      </c>
      <c r="C241">
        <v>127096.53</v>
      </c>
      <c r="D241">
        <v>0</v>
      </c>
      <c r="E241">
        <v>625056.63</v>
      </c>
      <c r="F241">
        <v>0</v>
      </c>
      <c r="G241">
        <v>767037.28551740292</v>
      </c>
      <c r="H241">
        <v>0.81489732220562106</v>
      </c>
    </row>
    <row r="242" spans="1:8" x14ac:dyDescent="0.5">
      <c r="A242" s="1">
        <v>43439</v>
      </c>
      <c r="B242">
        <v>494974.09999999992</v>
      </c>
      <c r="C242">
        <v>127586.53</v>
      </c>
      <c r="D242">
        <v>0</v>
      </c>
      <c r="E242">
        <v>622560.62999999989</v>
      </c>
      <c r="F242">
        <v>0</v>
      </c>
      <c r="G242">
        <v>767037.28551740292</v>
      </c>
      <c r="H242">
        <v>0.81164324310525959</v>
      </c>
    </row>
    <row r="243" spans="1:8" x14ac:dyDescent="0.5">
      <c r="A243" s="1">
        <v>43440</v>
      </c>
      <c r="B243">
        <v>486225.29999999993</v>
      </c>
      <c r="C243">
        <v>127586.53</v>
      </c>
      <c r="D243">
        <v>0</v>
      </c>
      <c r="E243">
        <v>613811.82999999996</v>
      </c>
      <c r="F243">
        <v>0</v>
      </c>
      <c r="G243">
        <v>767037.28551740292</v>
      </c>
      <c r="H243">
        <v>0.80023727866886529</v>
      </c>
    </row>
    <row r="244" spans="1:8" x14ac:dyDescent="0.5">
      <c r="A244" s="1">
        <v>43441</v>
      </c>
      <c r="B244">
        <v>485439.4</v>
      </c>
      <c r="C244">
        <v>127586.53</v>
      </c>
      <c r="D244">
        <v>0</v>
      </c>
      <c r="E244">
        <v>613025.93000000005</v>
      </c>
      <c r="F244">
        <v>0</v>
      </c>
      <c r="G244">
        <v>767037.28551740292</v>
      </c>
      <c r="H244">
        <v>0.7992126870162316</v>
      </c>
    </row>
    <row r="245" spans="1:8" x14ac:dyDescent="0.5">
      <c r="A245" s="1">
        <v>43444</v>
      </c>
      <c r="B245">
        <v>479959.4</v>
      </c>
      <c r="C245">
        <v>127586.53</v>
      </c>
      <c r="D245">
        <v>0</v>
      </c>
      <c r="E245">
        <v>607545.93000000005</v>
      </c>
      <c r="F245">
        <v>0</v>
      </c>
      <c r="G245">
        <v>767037.28551740292</v>
      </c>
      <c r="H245">
        <v>0.79206831463242566</v>
      </c>
    </row>
    <row r="246" spans="1:8" x14ac:dyDescent="0.5">
      <c r="A246" s="1">
        <v>43445</v>
      </c>
      <c r="B246">
        <v>482253.40000000008</v>
      </c>
      <c r="C246">
        <v>127586.53</v>
      </c>
      <c r="D246">
        <v>0</v>
      </c>
      <c r="E246">
        <v>609839.93000000005</v>
      </c>
      <c r="F246">
        <v>0</v>
      </c>
      <c r="G246">
        <v>767037.28551740292</v>
      </c>
      <c r="H246">
        <v>0.79505904277995321</v>
      </c>
    </row>
    <row r="247" spans="1:8" x14ac:dyDescent="0.5">
      <c r="A247" s="1">
        <v>43446</v>
      </c>
      <c r="B247">
        <v>483200.3</v>
      </c>
      <c r="C247">
        <v>127586.53</v>
      </c>
      <c r="D247">
        <v>0</v>
      </c>
      <c r="E247">
        <v>610786.82999999996</v>
      </c>
      <c r="F247">
        <v>0</v>
      </c>
      <c r="G247">
        <v>767037.28551740292</v>
      </c>
      <c r="H247">
        <v>0.79629353296430094</v>
      </c>
    </row>
    <row r="248" spans="1:8" x14ac:dyDescent="0.5">
      <c r="A248" s="1">
        <v>43447</v>
      </c>
      <c r="B248">
        <v>490698.5</v>
      </c>
      <c r="C248">
        <v>127586.53</v>
      </c>
      <c r="D248">
        <v>0</v>
      </c>
      <c r="E248">
        <v>618285.03</v>
      </c>
      <c r="F248">
        <v>0</v>
      </c>
      <c r="G248">
        <v>767037.28551740292</v>
      </c>
      <c r="H248">
        <v>0.80606906818478519</v>
      </c>
    </row>
    <row r="249" spans="1:8" x14ac:dyDescent="0.5">
      <c r="A249" s="1">
        <v>43448</v>
      </c>
      <c r="B249">
        <v>501826.2</v>
      </c>
      <c r="C249">
        <v>148116.69</v>
      </c>
      <c r="D249">
        <v>40000</v>
      </c>
      <c r="E249">
        <v>649942.89</v>
      </c>
      <c r="F249">
        <v>49623.539196309051</v>
      </c>
      <c r="G249">
        <v>816660.82471371198</v>
      </c>
      <c r="H249">
        <v>0.79585412980700221</v>
      </c>
    </row>
    <row r="250" spans="1:8" x14ac:dyDescent="0.5">
      <c r="A250" s="1">
        <v>43451</v>
      </c>
      <c r="B250">
        <v>500938.5</v>
      </c>
      <c r="C250">
        <v>148116.69</v>
      </c>
      <c r="D250">
        <v>0</v>
      </c>
      <c r="E250">
        <v>649055.18999999994</v>
      </c>
      <c r="F250">
        <v>0</v>
      </c>
      <c r="G250">
        <v>816660.82471371198</v>
      </c>
      <c r="H250">
        <v>0.7947671424394972</v>
      </c>
    </row>
    <row r="251" spans="1:8" x14ac:dyDescent="0.5">
      <c r="A251" s="1">
        <v>43452</v>
      </c>
      <c r="B251">
        <v>514125.50000000006</v>
      </c>
      <c r="C251">
        <v>128874.92</v>
      </c>
      <c r="D251">
        <v>0</v>
      </c>
      <c r="E251">
        <v>643000.42000000004</v>
      </c>
      <c r="F251">
        <v>0</v>
      </c>
      <c r="G251">
        <v>816660.82471371198</v>
      </c>
      <c r="H251">
        <v>0.78735308532206105</v>
      </c>
    </row>
    <row r="252" spans="1:8" x14ac:dyDescent="0.5">
      <c r="A252" s="1">
        <v>43453</v>
      </c>
      <c r="B252">
        <v>508435.4</v>
      </c>
      <c r="C252">
        <v>68874.92</v>
      </c>
      <c r="D252">
        <v>-60000</v>
      </c>
      <c r="E252">
        <v>577310.32000000007</v>
      </c>
      <c r="F252">
        <v>-76204.692810033812</v>
      </c>
      <c r="G252">
        <v>740456.13190367818</v>
      </c>
      <c r="H252">
        <v>0.77966849773498692</v>
      </c>
    </row>
    <row r="253" spans="1:8" x14ac:dyDescent="0.5">
      <c r="A253" s="1">
        <v>43454</v>
      </c>
      <c r="B253">
        <v>505094.6</v>
      </c>
      <c r="C253">
        <v>68927.45</v>
      </c>
      <c r="D253">
        <v>0</v>
      </c>
      <c r="E253">
        <v>574022.04999999993</v>
      </c>
      <c r="F253">
        <v>0</v>
      </c>
      <c r="G253">
        <v>740456.13190367818</v>
      </c>
      <c r="H253">
        <v>0.77522762695504466</v>
      </c>
    </row>
    <row r="254" spans="1:8" x14ac:dyDescent="0.5">
      <c r="A254" s="1">
        <v>43455</v>
      </c>
      <c r="B254">
        <v>499121.00000000006</v>
      </c>
      <c r="C254">
        <v>68927.45</v>
      </c>
      <c r="D254">
        <v>0</v>
      </c>
      <c r="E254">
        <v>568048.45000000007</v>
      </c>
      <c r="F254">
        <v>0</v>
      </c>
      <c r="G254">
        <v>740456.13190367818</v>
      </c>
      <c r="H254">
        <v>0.76716016726011038</v>
      </c>
    </row>
    <row r="255" spans="1:8" x14ac:dyDescent="0.5">
      <c r="A255" s="1">
        <v>43458</v>
      </c>
      <c r="B255">
        <v>500683.89999999997</v>
      </c>
      <c r="C255">
        <v>68927.45</v>
      </c>
      <c r="D255">
        <v>0</v>
      </c>
      <c r="E255">
        <v>569611.35</v>
      </c>
      <c r="F255">
        <v>0</v>
      </c>
      <c r="G255">
        <v>740456.13190367818</v>
      </c>
      <c r="H255">
        <v>0.76927089324732278</v>
      </c>
    </row>
    <row r="256" spans="1:8" x14ac:dyDescent="0.5">
      <c r="A256" s="1">
        <v>43459</v>
      </c>
      <c r="B256">
        <v>497059.1</v>
      </c>
      <c r="C256">
        <v>68927.45</v>
      </c>
      <c r="D256">
        <v>0</v>
      </c>
      <c r="E256">
        <v>565986.54999999993</v>
      </c>
      <c r="F256">
        <v>0</v>
      </c>
      <c r="G256">
        <v>740456.13190367818</v>
      </c>
      <c r="H256">
        <v>0.7643755323423076</v>
      </c>
    </row>
    <row r="257" spans="1:8" x14ac:dyDescent="0.5">
      <c r="A257" s="1">
        <v>43460</v>
      </c>
      <c r="B257">
        <v>494297.5</v>
      </c>
      <c r="C257">
        <v>68927.45</v>
      </c>
      <c r="D257">
        <v>0</v>
      </c>
      <c r="E257">
        <v>563224.94999999995</v>
      </c>
      <c r="F257">
        <v>0</v>
      </c>
      <c r="G257">
        <v>740456.13190367818</v>
      </c>
      <c r="H257">
        <v>0.7606459393508902</v>
      </c>
    </row>
    <row r="258" spans="1:8" x14ac:dyDescent="0.5">
      <c r="A258" s="1">
        <v>43461</v>
      </c>
      <c r="B258">
        <v>493467.89999999997</v>
      </c>
      <c r="C258">
        <v>68927.45</v>
      </c>
      <c r="D258">
        <v>0</v>
      </c>
      <c r="E258">
        <v>562395.35</v>
      </c>
      <c r="F258">
        <v>0</v>
      </c>
      <c r="G258">
        <v>740456.13190367818</v>
      </c>
      <c r="H258">
        <v>0.75952554887229817</v>
      </c>
    </row>
    <row r="259" spans="1:8" x14ac:dyDescent="0.5">
      <c r="A259" s="1">
        <v>43462</v>
      </c>
      <c r="B259">
        <v>494642.29999999993</v>
      </c>
      <c r="C259">
        <v>68927.45</v>
      </c>
      <c r="D259">
        <v>0</v>
      </c>
      <c r="E259">
        <v>563569.74999999988</v>
      </c>
      <c r="F259">
        <v>0</v>
      </c>
      <c r="G259">
        <v>740456.13190367818</v>
      </c>
      <c r="H259">
        <v>0.76111159826725772</v>
      </c>
    </row>
    <row r="260" spans="1:8" x14ac:dyDescent="0.5">
      <c r="A260" s="1">
        <v>43467</v>
      </c>
      <c r="B260">
        <v>489508.10000000003</v>
      </c>
      <c r="C260">
        <v>68927.45</v>
      </c>
      <c r="D260">
        <v>0</v>
      </c>
      <c r="E260">
        <v>558435.55000000005</v>
      </c>
      <c r="F260">
        <v>0</v>
      </c>
      <c r="G260">
        <v>740456.13190367818</v>
      </c>
      <c r="H260">
        <v>0.75417776413612547</v>
      </c>
    </row>
    <row r="261" spans="1:8" x14ac:dyDescent="0.5">
      <c r="A261" s="1">
        <v>43468</v>
      </c>
      <c r="B261">
        <v>551700.4</v>
      </c>
      <c r="C261">
        <v>110283.26000000001</v>
      </c>
      <c r="D261">
        <v>101693.91</v>
      </c>
      <c r="E261">
        <v>661983.66</v>
      </c>
      <c r="F261">
        <v>134840.76942587335</v>
      </c>
      <c r="G261">
        <v>875296.90132955159</v>
      </c>
      <c r="H261">
        <v>0.75629613105503435</v>
      </c>
    </row>
    <row r="262" spans="1:8" x14ac:dyDescent="0.5">
      <c r="A262" s="1">
        <v>43469</v>
      </c>
      <c r="B262">
        <v>564834</v>
      </c>
      <c r="C262">
        <v>110283.26000000001</v>
      </c>
      <c r="D262">
        <v>0</v>
      </c>
      <c r="E262">
        <v>675117.26</v>
      </c>
      <c r="F262">
        <v>0</v>
      </c>
      <c r="G262">
        <v>875296.90132955159</v>
      </c>
      <c r="H262">
        <v>0.77130086828196887</v>
      </c>
    </row>
    <row r="263" spans="1:8" x14ac:dyDescent="0.5">
      <c r="A263" s="1">
        <v>43472</v>
      </c>
      <c r="B263">
        <v>570435.6</v>
      </c>
      <c r="C263">
        <v>110283.26000000001</v>
      </c>
      <c r="D263">
        <v>0</v>
      </c>
      <c r="E263">
        <v>680718.86</v>
      </c>
      <c r="F263">
        <v>0</v>
      </c>
      <c r="G263">
        <v>875296.90132955159</v>
      </c>
      <c r="H263">
        <v>0.7777005253486069</v>
      </c>
    </row>
    <row r="264" spans="1:8" x14ac:dyDescent="0.5">
      <c r="A264" s="1">
        <v>43473</v>
      </c>
      <c r="B264">
        <v>569250.79999999993</v>
      </c>
      <c r="C264">
        <v>110283.26000000001</v>
      </c>
      <c r="D264">
        <v>0</v>
      </c>
      <c r="E264">
        <v>679534.05999999994</v>
      </c>
      <c r="F264">
        <v>0</v>
      </c>
      <c r="G264">
        <v>875296.90132955159</v>
      </c>
      <c r="H264">
        <v>0.77634692750289258</v>
      </c>
    </row>
    <row r="265" spans="1:8" x14ac:dyDescent="0.5">
      <c r="A265" s="1">
        <v>43474</v>
      </c>
      <c r="B265">
        <v>572231.30000000005</v>
      </c>
      <c r="C265">
        <v>110283.26000000001</v>
      </c>
      <c r="D265">
        <v>0</v>
      </c>
      <c r="E265">
        <v>682514.56</v>
      </c>
      <c r="F265">
        <v>0</v>
      </c>
      <c r="G265">
        <v>875296.90132955159</v>
      </c>
      <c r="H265">
        <v>0.779752057802649</v>
      </c>
    </row>
    <row r="266" spans="1:8" x14ac:dyDescent="0.5">
      <c r="A266" s="1">
        <v>43475</v>
      </c>
      <c r="B266">
        <v>571960.30000000005</v>
      </c>
      <c r="C266">
        <v>110283.26000000001</v>
      </c>
      <c r="D266">
        <v>0</v>
      </c>
      <c r="E266">
        <v>682243.56</v>
      </c>
      <c r="F266">
        <v>0</v>
      </c>
      <c r="G266">
        <v>875296.90132955159</v>
      </c>
      <c r="H266">
        <v>0.77944244857223999</v>
      </c>
    </row>
    <row r="267" spans="1:8" x14ac:dyDescent="0.5">
      <c r="A267" s="1">
        <v>43476</v>
      </c>
      <c r="B267">
        <v>577037.30000000005</v>
      </c>
      <c r="C267">
        <v>110283.26000000001</v>
      </c>
      <c r="D267">
        <v>0</v>
      </c>
      <c r="E267">
        <v>687320.56</v>
      </c>
      <c r="F267">
        <v>0</v>
      </c>
      <c r="G267">
        <v>875296.90132955159</v>
      </c>
      <c r="H267">
        <v>0.78524276614709743</v>
      </c>
    </row>
    <row r="268" spans="1:8" x14ac:dyDescent="0.5">
      <c r="A268" s="1">
        <v>43479</v>
      </c>
      <c r="B268">
        <v>572057.1</v>
      </c>
      <c r="C268">
        <v>110283.26000000001</v>
      </c>
      <c r="D268">
        <v>0</v>
      </c>
      <c r="E268">
        <v>682340.36</v>
      </c>
      <c r="F268">
        <v>0</v>
      </c>
      <c r="G268">
        <v>875296.90132955159</v>
      </c>
      <c r="H268">
        <v>0.77955303961837863</v>
      </c>
    </row>
    <row r="269" spans="1:8" x14ac:dyDescent="0.5">
      <c r="A269" s="1">
        <v>43480</v>
      </c>
      <c r="B269">
        <v>581567.9</v>
      </c>
      <c r="C269">
        <v>110283.26000000001</v>
      </c>
      <c r="D269">
        <v>0</v>
      </c>
      <c r="E269">
        <v>691851.16</v>
      </c>
      <c r="F269">
        <v>0</v>
      </c>
      <c r="G269">
        <v>875296.90132955159</v>
      </c>
      <c r="H269">
        <v>0.79041883839540317</v>
      </c>
    </row>
    <row r="270" spans="1:8" x14ac:dyDescent="0.5">
      <c r="A270" s="1">
        <v>43481</v>
      </c>
      <c r="B270">
        <v>572958.89999999991</v>
      </c>
      <c r="C270">
        <v>110283.26000000001</v>
      </c>
      <c r="D270">
        <v>0</v>
      </c>
      <c r="E270">
        <v>683242.15999999992</v>
      </c>
      <c r="F270">
        <v>0</v>
      </c>
      <c r="G270">
        <v>875296.90132955159</v>
      </c>
      <c r="H270">
        <v>0.78058331859986496</v>
      </c>
    </row>
    <row r="271" spans="1:8" x14ac:dyDescent="0.5">
      <c r="A271" s="1">
        <v>43482</v>
      </c>
      <c r="B271">
        <v>569290.80000000005</v>
      </c>
      <c r="C271">
        <v>110283.26000000001</v>
      </c>
      <c r="D271">
        <v>0</v>
      </c>
      <c r="E271">
        <v>679574.06</v>
      </c>
      <c r="F271">
        <v>0</v>
      </c>
      <c r="G271">
        <v>875296.90132955159</v>
      </c>
      <c r="H271">
        <v>0.77639262628228889</v>
      </c>
    </row>
    <row r="272" spans="1:8" x14ac:dyDescent="0.5">
      <c r="A272" s="1">
        <v>43483</v>
      </c>
      <c r="B272">
        <v>578226.1</v>
      </c>
      <c r="C272">
        <v>118354.46</v>
      </c>
      <c r="D272">
        <v>0</v>
      </c>
      <c r="E272">
        <v>696580.55999999994</v>
      </c>
      <c r="F272">
        <v>0</v>
      </c>
      <c r="G272">
        <v>875296.90132955159</v>
      </c>
      <c r="H272">
        <v>0.79582203357730785</v>
      </c>
    </row>
    <row r="273" spans="1:8" x14ac:dyDescent="0.5">
      <c r="A273" s="1">
        <v>43486</v>
      </c>
      <c r="B273">
        <v>581338.39999999991</v>
      </c>
      <c r="C273">
        <v>118354.46</v>
      </c>
      <c r="D273">
        <v>0</v>
      </c>
      <c r="E273">
        <v>699692.85999999987</v>
      </c>
      <c r="F273">
        <v>0</v>
      </c>
      <c r="G273">
        <v>875296.90132955159</v>
      </c>
      <c r="H273">
        <v>0.79937774135517436</v>
      </c>
    </row>
    <row r="274" spans="1:8" x14ac:dyDescent="0.5">
      <c r="A274" s="1">
        <v>43487</v>
      </c>
      <c r="B274">
        <v>573982.60000000009</v>
      </c>
      <c r="C274">
        <v>118354.46</v>
      </c>
      <c r="D274">
        <v>0</v>
      </c>
      <c r="E274">
        <v>692337.06</v>
      </c>
      <c r="F274">
        <v>0</v>
      </c>
      <c r="G274">
        <v>875296.90132955159</v>
      </c>
      <c r="H274">
        <v>0.79097396431811806</v>
      </c>
    </row>
    <row r="275" spans="1:8" x14ac:dyDescent="0.5">
      <c r="A275" s="1">
        <v>43488</v>
      </c>
      <c r="B275">
        <v>572988.89999999991</v>
      </c>
      <c r="C275">
        <v>118354.46</v>
      </c>
      <c r="D275">
        <v>0</v>
      </c>
      <c r="E275">
        <v>691343.35999999987</v>
      </c>
      <c r="F275">
        <v>0</v>
      </c>
      <c r="G275">
        <v>875296.90132955159</v>
      </c>
      <c r="H275">
        <v>0.78983869239096882</v>
      </c>
    </row>
    <row r="276" spans="1:8" x14ac:dyDescent="0.5">
      <c r="A276" s="1">
        <v>43489</v>
      </c>
      <c r="B276">
        <v>577594.29999999993</v>
      </c>
      <c r="C276">
        <v>118354.46</v>
      </c>
      <c r="D276">
        <v>0</v>
      </c>
      <c r="E276">
        <v>695948.75999999989</v>
      </c>
      <c r="F276">
        <v>0</v>
      </c>
      <c r="G276">
        <v>875296.90132955159</v>
      </c>
      <c r="H276">
        <v>0.79510022135674552</v>
      </c>
    </row>
    <row r="277" spans="1:8" x14ac:dyDescent="0.5">
      <c r="A277" s="1">
        <v>43490</v>
      </c>
      <c r="B277">
        <v>580618</v>
      </c>
      <c r="C277">
        <v>118354.46</v>
      </c>
      <c r="D277">
        <v>0</v>
      </c>
      <c r="E277">
        <v>698972.46</v>
      </c>
      <c r="F277">
        <v>0</v>
      </c>
      <c r="G277">
        <v>875296.90132955159</v>
      </c>
      <c r="H277">
        <v>0.79855470633824965</v>
      </c>
    </row>
    <row r="278" spans="1:8" x14ac:dyDescent="0.5">
      <c r="A278" s="1">
        <v>43493</v>
      </c>
      <c r="B278">
        <v>579546.39999999991</v>
      </c>
      <c r="C278">
        <v>118354.46</v>
      </c>
      <c r="D278">
        <v>0</v>
      </c>
      <c r="E278">
        <v>697900.85999999987</v>
      </c>
      <c r="F278">
        <v>0</v>
      </c>
      <c r="G278">
        <v>875296.90132955159</v>
      </c>
      <c r="H278">
        <v>0.79733043603822651</v>
      </c>
    </row>
    <row r="279" spans="1:8" x14ac:dyDescent="0.5">
      <c r="A279" s="1">
        <v>43494</v>
      </c>
      <c r="B279">
        <v>579685.9</v>
      </c>
      <c r="C279">
        <v>118354.46</v>
      </c>
      <c r="D279">
        <v>0</v>
      </c>
      <c r="E279">
        <v>698040.36</v>
      </c>
      <c r="F279">
        <v>0</v>
      </c>
      <c r="G279">
        <v>875296.90132955159</v>
      </c>
      <c r="H279">
        <v>0.79748981053137069</v>
      </c>
    </row>
    <row r="280" spans="1:8" x14ac:dyDescent="0.5">
      <c r="A280" s="1">
        <v>43495</v>
      </c>
      <c r="B280">
        <v>576631.19999999995</v>
      </c>
      <c r="C280">
        <v>118354.46</v>
      </c>
      <c r="D280">
        <v>0</v>
      </c>
      <c r="E280">
        <v>694985.65999999992</v>
      </c>
      <c r="F280">
        <v>0</v>
      </c>
      <c r="G280">
        <v>875296.90132955159</v>
      </c>
      <c r="H280">
        <v>0.7939999089958345</v>
      </c>
    </row>
    <row r="281" spans="1:8" x14ac:dyDescent="0.5">
      <c r="A281" s="1">
        <v>43496</v>
      </c>
      <c r="B281">
        <v>580515.5</v>
      </c>
      <c r="C281">
        <v>118354.46</v>
      </c>
      <c r="D281">
        <v>0</v>
      </c>
      <c r="E281">
        <v>698869.96</v>
      </c>
      <c r="F281">
        <v>0</v>
      </c>
      <c r="G281">
        <v>875296.90132955159</v>
      </c>
      <c r="H281">
        <v>0.79843760321604695</v>
      </c>
    </row>
    <row r="282" spans="1:8" x14ac:dyDescent="0.5">
      <c r="A282" s="1">
        <v>43497</v>
      </c>
      <c r="B282">
        <v>590572.80000000005</v>
      </c>
      <c r="C282">
        <v>118354.46</v>
      </c>
      <c r="D282">
        <v>0</v>
      </c>
      <c r="E282">
        <v>708927.26</v>
      </c>
      <c r="F282">
        <v>0</v>
      </c>
      <c r="G282">
        <v>875296.90132955159</v>
      </c>
      <c r="H282">
        <v>0.80992776156657165</v>
      </c>
    </row>
    <row r="283" spans="1:8" x14ac:dyDescent="0.5">
      <c r="A283" s="1">
        <v>43507</v>
      </c>
      <c r="B283">
        <v>598996.79999999993</v>
      </c>
      <c r="C283">
        <v>118354.46</v>
      </c>
      <c r="D283">
        <v>0</v>
      </c>
      <c r="E283">
        <v>717351.25999999989</v>
      </c>
      <c r="F283">
        <v>0</v>
      </c>
      <c r="G283">
        <v>875296.90132955159</v>
      </c>
      <c r="H283">
        <v>0.81955192450740233</v>
      </c>
    </row>
    <row r="284" spans="1:8" x14ac:dyDescent="0.5">
      <c r="A284" s="1">
        <v>43508</v>
      </c>
      <c r="B284">
        <v>603274.29999999993</v>
      </c>
      <c r="C284">
        <v>118354.46</v>
      </c>
      <c r="D284">
        <v>0</v>
      </c>
      <c r="E284">
        <v>721628.75999999989</v>
      </c>
      <c r="F284">
        <v>0</v>
      </c>
      <c r="G284">
        <v>875296.90132955159</v>
      </c>
      <c r="H284">
        <v>0.824438837729079</v>
      </c>
    </row>
    <row r="285" spans="1:8" x14ac:dyDescent="0.5">
      <c r="A285" s="1">
        <v>43509</v>
      </c>
      <c r="B285">
        <v>615428.4</v>
      </c>
      <c r="C285">
        <v>118354.46</v>
      </c>
      <c r="D285">
        <v>0</v>
      </c>
      <c r="E285">
        <v>733782.86</v>
      </c>
      <c r="F285">
        <v>0</v>
      </c>
      <c r="G285">
        <v>875296.90132955159</v>
      </c>
      <c r="H285">
        <v>0.8383245260955503</v>
      </c>
    </row>
    <row r="286" spans="1:8" x14ac:dyDescent="0.5">
      <c r="A286" s="1">
        <v>43510</v>
      </c>
      <c r="B286">
        <v>616116.6</v>
      </c>
      <c r="C286">
        <v>118354.46</v>
      </c>
      <c r="D286">
        <v>0</v>
      </c>
      <c r="E286">
        <v>734471.05999999994</v>
      </c>
      <c r="F286">
        <v>0</v>
      </c>
      <c r="G286">
        <v>875296.90132955159</v>
      </c>
      <c r="H286">
        <v>0.83911077359506114</v>
      </c>
    </row>
    <row r="287" spans="1:8" x14ac:dyDescent="0.5">
      <c r="A287" s="1">
        <v>43511</v>
      </c>
      <c r="B287">
        <v>607026.80000000005</v>
      </c>
      <c r="C287">
        <v>118354.46</v>
      </c>
      <c r="D287">
        <v>0</v>
      </c>
      <c r="E287">
        <v>725381.26</v>
      </c>
      <c r="F287">
        <v>0</v>
      </c>
      <c r="G287">
        <v>875296.90132955159</v>
      </c>
      <c r="H287">
        <v>0.82872595447118125</v>
      </c>
    </row>
    <row r="288" spans="1:8" x14ac:dyDescent="0.5">
      <c r="A288" s="1">
        <v>43514</v>
      </c>
      <c r="B288">
        <v>625554.79999999993</v>
      </c>
      <c r="C288">
        <v>118354.46</v>
      </c>
      <c r="D288">
        <v>0</v>
      </c>
      <c r="E288">
        <v>743909.25999999989</v>
      </c>
      <c r="F288">
        <v>0</v>
      </c>
      <c r="G288">
        <v>875296.90132955159</v>
      </c>
      <c r="H288">
        <v>0.84989362908748156</v>
      </c>
    </row>
    <row r="289" spans="1:8" x14ac:dyDescent="0.5">
      <c r="A289" s="1">
        <v>43515</v>
      </c>
      <c r="B289">
        <v>625346.99999999988</v>
      </c>
      <c r="C289">
        <v>118354.46</v>
      </c>
      <c r="D289">
        <v>0</v>
      </c>
      <c r="E289">
        <v>743701.45999999985</v>
      </c>
      <c r="F289">
        <v>0</v>
      </c>
      <c r="G289">
        <v>875296.90132955159</v>
      </c>
      <c r="H289">
        <v>0.84965622392851847</v>
      </c>
    </row>
    <row r="290" spans="1:8" x14ac:dyDescent="0.5">
      <c r="A290" s="1">
        <v>43516</v>
      </c>
      <c r="B290">
        <v>625882.80000000005</v>
      </c>
      <c r="C290">
        <v>118354.46</v>
      </c>
      <c r="D290">
        <v>0</v>
      </c>
      <c r="E290">
        <v>744237.26</v>
      </c>
      <c r="F290">
        <v>0</v>
      </c>
      <c r="G290">
        <v>875296.90132955159</v>
      </c>
      <c r="H290">
        <v>0.85026835907853027</v>
      </c>
    </row>
    <row r="291" spans="1:8" x14ac:dyDescent="0.5">
      <c r="A291" s="1">
        <v>43517</v>
      </c>
      <c r="B291">
        <v>624329.69999999995</v>
      </c>
      <c r="C291">
        <v>118354.46</v>
      </c>
      <c r="D291">
        <v>0</v>
      </c>
      <c r="E291">
        <v>742684.15999999992</v>
      </c>
      <c r="F291">
        <v>0</v>
      </c>
      <c r="G291">
        <v>875296.90132955159</v>
      </c>
      <c r="H291">
        <v>0.84849398972152579</v>
      </c>
    </row>
    <row r="292" spans="1:8" x14ac:dyDescent="0.5">
      <c r="A292" s="1">
        <v>43518</v>
      </c>
      <c r="B292">
        <v>640051.80000000005</v>
      </c>
      <c r="C292">
        <v>118354.46</v>
      </c>
      <c r="D292">
        <v>0</v>
      </c>
      <c r="E292">
        <v>758406.26</v>
      </c>
      <c r="F292">
        <v>0</v>
      </c>
      <c r="G292">
        <v>875296.90132955159</v>
      </c>
      <c r="H292">
        <v>0.86645600921013433</v>
      </c>
    </row>
    <row r="293" spans="1:8" x14ac:dyDescent="0.5">
      <c r="A293" s="1">
        <v>43521</v>
      </c>
      <c r="B293">
        <v>683168.7</v>
      </c>
      <c r="C293">
        <v>118354.46</v>
      </c>
      <c r="D293">
        <v>0</v>
      </c>
      <c r="E293">
        <v>801523.15999999992</v>
      </c>
      <c r="F293">
        <v>0</v>
      </c>
      <c r="G293">
        <v>875296.90132955159</v>
      </c>
      <c r="H293">
        <v>0.9157157517437895</v>
      </c>
    </row>
    <row r="294" spans="1:8" x14ac:dyDescent="0.5">
      <c r="A294" s="1">
        <v>43522</v>
      </c>
      <c r="B294">
        <v>668740</v>
      </c>
      <c r="C294">
        <v>118354.46</v>
      </c>
      <c r="D294">
        <v>0</v>
      </c>
      <c r="E294">
        <v>787094.46</v>
      </c>
      <c r="F294">
        <v>0</v>
      </c>
      <c r="G294">
        <v>875296.90132955159</v>
      </c>
      <c r="H294">
        <v>0.89923140228695586</v>
      </c>
    </row>
    <row r="295" spans="1:8" x14ac:dyDescent="0.5">
      <c r="A295" s="1">
        <v>43523</v>
      </c>
      <c r="B295">
        <v>667482.50000000012</v>
      </c>
      <c r="C295">
        <v>118354.46</v>
      </c>
      <c r="D295">
        <v>0</v>
      </c>
      <c r="E295">
        <v>785836.96000000008</v>
      </c>
      <c r="F295">
        <v>0</v>
      </c>
      <c r="G295">
        <v>875296.90132955159</v>
      </c>
      <c r="H295">
        <v>0.8977947469096893</v>
      </c>
    </row>
    <row r="296" spans="1:8" x14ac:dyDescent="0.5">
      <c r="A296" s="1">
        <v>43524</v>
      </c>
      <c r="B296">
        <v>666027.6</v>
      </c>
      <c r="C296">
        <v>118354.46</v>
      </c>
      <c r="D296">
        <v>0</v>
      </c>
      <c r="E296">
        <v>784382.05999999994</v>
      </c>
      <c r="F296">
        <v>0</v>
      </c>
      <c r="G296">
        <v>875296.90132955159</v>
      </c>
      <c r="H296">
        <v>0.89613256805610242</v>
      </c>
    </row>
    <row r="297" spans="1:8" x14ac:dyDescent="0.5">
      <c r="A297" s="1">
        <v>43525</v>
      </c>
      <c r="B297">
        <v>565902.39999999991</v>
      </c>
      <c r="C297">
        <v>229021.25</v>
      </c>
      <c r="D297">
        <v>0</v>
      </c>
      <c r="E297">
        <v>794923.64999999991</v>
      </c>
      <c r="F297">
        <v>0</v>
      </c>
      <c r="G297">
        <v>875296.90132955159</v>
      </c>
      <c r="H297">
        <v>0.90817601295347106</v>
      </c>
    </row>
    <row r="298" spans="1:8" x14ac:dyDescent="0.5">
      <c r="A298" s="1">
        <v>43528</v>
      </c>
      <c r="B298">
        <v>572057</v>
      </c>
      <c r="C298">
        <v>229021.25</v>
      </c>
      <c r="D298">
        <v>0</v>
      </c>
      <c r="E298">
        <v>801078.25</v>
      </c>
      <c r="F298">
        <v>0</v>
      </c>
      <c r="G298">
        <v>875296.90132955159</v>
      </c>
      <c r="H298">
        <v>0.91520745564526107</v>
      </c>
    </row>
    <row r="299" spans="1:8" x14ac:dyDescent="0.5">
      <c r="A299" s="1">
        <v>43529</v>
      </c>
      <c r="B299">
        <v>578331.19999999995</v>
      </c>
      <c r="C299">
        <v>229021.25</v>
      </c>
      <c r="D299">
        <v>0</v>
      </c>
      <c r="E299">
        <v>807352.45</v>
      </c>
      <c r="F299">
        <v>0</v>
      </c>
      <c r="G299">
        <v>875296.90132955159</v>
      </c>
      <c r="H299">
        <v>0.9223755376874454</v>
      </c>
    </row>
    <row r="300" spans="1:8" x14ac:dyDescent="0.5">
      <c r="A300" s="1">
        <v>43530</v>
      </c>
      <c r="B300">
        <v>582634.9</v>
      </c>
      <c r="C300">
        <v>229021.25</v>
      </c>
      <c r="D300">
        <v>0</v>
      </c>
      <c r="E300">
        <v>811656.15</v>
      </c>
      <c r="F300">
        <v>0</v>
      </c>
      <c r="G300">
        <v>875296.90132955159</v>
      </c>
      <c r="H300">
        <v>0.92729238360962662</v>
      </c>
    </row>
    <row r="301" spans="1:8" x14ac:dyDescent="0.5">
      <c r="A301" s="1">
        <v>43531</v>
      </c>
      <c r="B301">
        <v>576958.60000000009</v>
      </c>
      <c r="C301">
        <v>229021.25</v>
      </c>
      <c r="D301">
        <v>0</v>
      </c>
      <c r="E301">
        <v>805979.85000000009</v>
      </c>
      <c r="F301">
        <v>0</v>
      </c>
      <c r="G301">
        <v>875296.90132955159</v>
      </c>
      <c r="H301">
        <v>0.92080738407246632</v>
      </c>
    </row>
    <row r="302" spans="1:8" x14ac:dyDescent="0.5">
      <c r="A302" s="1">
        <v>43532</v>
      </c>
      <c r="B302">
        <v>558016.79999999993</v>
      </c>
      <c r="C302">
        <v>229021.25</v>
      </c>
      <c r="D302">
        <v>0</v>
      </c>
      <c r="E302">
        <v>787038.04999999993</v>
      </c>
      <c r="F302">
        <v>0</v>
      </c>
      <c r="G302">
        <v>875296.90132955159</v>
      </c>
      <c r="H302">
        <v>0.8991669555833125</v>
      </c>
    </row>
    <row r="303" spans="1:8" x14ac:dyDescent="0.5">
      <c r="A303" s="1">
        <v>43535</v>
      </c>
      <c r="B303">
        <v>568096.80000000005</v>
      </c>
      <c r="C303">
        <v>229021.25</v>
      </c>
      <c r="D303">
        <v>0</v>
      </c>
      <c r="E303">
        <v>797118.05</v>
      </c>
      <c r="F303">
        <v>0</v>
      </c>
      <c r="G303">
        <v>875296.90132955159</v>
      </c>
      <c r="H303">
        <v>0.91068304799114441</v>
      </c>
    </row>
    <row r="304" spans="1:8" x14ac:dyDescent="0.5">
      <c r="A304" s="1">
        <v>43536</v>
      </c>
      <c r="B304">
        <v>575279.5</v>
      </c>
      <c r="C304">
        <v>229021.25</v>
      </c>
      <c r="D304">
        <v>0</v>
      </c>
      <c r="E304">
        <v>804300.75</v>
      </c>
      <c r="F304">
        <v>0</v>
      </c>
      <c r="G304">
        <v>875296.90132955159</v>
      </c>
      <c r="H304">
        <v>0.91888906356036404</v>
      </c>
    </row>
    <row r="305" spans="1:8" x14ac:dyDescent="0.5">
      <c r="A305" s="1">
        <v>43537</v>
      </c>
      <c r="B305">
        <v>569619.10000000009</v>
      </c>
      <c r="C305">
        <v>229021.25</v>
      </c>
      <c r="D305">
        <v>0</v>
      </c>
      <c r="E305">
        <v>798640.35000000009</v>
      </c>
      <c r="F305">
        <v>0</v>
      </c>
      <c r="G305">
        <v>875296.90132955159</v>
      </c>
      <c r="H305">
        <v>0.91242222928801375</v>
      </c>
    </row>
    <row r="306" spans="1:8" x14ac:dyDescent="0.5">
      <c r="A306" s="1">
        <v>43538</v>
      </c>
      <c r="B306">
        <v>563381.60000000009</v>
      </c>
      <c r="C306">
        <v>229021.25</v>
      </c>
      <c r="D306">
        <v>0</v>
      </c>
      <c r="E306">
        <v>792402.85000000009</v>
      </c>
      <c r="F306">
        <v>0</v>
      </c>
      <c r="G306">
        <v>875296.90132955159</v>
      </c>
      <c r="H306">
        <v>0.90529607587592531</v>
      </c>
    </row>
    <row r="307" spans="1:8" x14ac:dyDescent="0.5">
      <c r="A307" s="1">
        <v>43539</v>
      </c>
      <c r="B307">
        <v>569031.80000000005</v>
      </c>
      <c r="C307">
        <v>229021.25</v>
      </c>
      <c r="D307">
        <v>0</v>
      </c>
      <c r="E307">
        <v>798053.05</v>
      </c>
      <c r="F307">
        <v>0</v>
      </c>
      <c r="G307">
        <v>875296.90132955159</v>
      </c>
      <c r="H307">
        <v>0.91175125695952963</v>
      </c>
    </row>
    <row r="308" spans="1:8" x14ac:dyDescent="0.5">
      <c r="A308" s="1">
        <v>43542</v>
      </c>
      <c r="B308">
        <v>584713.10000000009</v>
      </c>
      <c r="C308">
        <v>229021.25</v>
      </c>
      <c r="D308">
        <v>0</v>
      </c>
      <c r="E308">
        <v>813734.35000000009</v>
      </c>
      <c r="F308">
        <v>0</v>
      </c>
      <c r="G308">
        <v>875296.90132955159</v>
      </c>
      <c r="H308">
        <v>0.92966666369315409</v>
      </c>
    </row>
    <row r="309" spans="1:8" x14ac:dyDescent="0.5">
      <c r="A309" s="1">
        <v>43543</v>
      </c>
      <c r="B309">
        <v>582893</v>
      </c>
      <c r="C309">
        <v>229021.25</v>
      </c>
      <c r="D309">
        <v>0</v>
      </c>
      <c r="E309">
        <v>811914.25</v>
      </c>
      <c r="F309">
        <v>0</v>
      </c>
      <c r="G309">
        <v>875296.90132955159</v>
      </c>
      <c r="H309">
        <v>0.92758725498368022</v>
      </c>
    </row>
    <row r="310" spans="1:8" x14ac:dyDescent="0.5">
      <c r="A310" s="1">
        <v>43544</v>
      </c>
      <c r="B310">
        <v>581433.9</v>
      </c>
      <c r="C310">
        <v>229106.31</v>
      </c>
      <c r="D310">
        <v>0</v>
      </c>
      <c r="E310">
        <v>810540.21</v>
      </c>
      <c r="F310">
        <v>0</v>
      </c>
      <c r="G310">
        <v>875296.90132955159</v>
      </c>
      <c r="H310">
        <v>0.92601745621264275</v>
      </c>
    </row>
    <row r="311" spans="1:8" x14ac:dyDescent="0.5">
      <c r="A311" s="1">
        <v>43545</v>
      </c>
      <c r="B311">
        <v>582408.6</v>
      </c>
      <c r="C311">
        <v>229106.31</v>
      </c>
      <c r="D311">
        <v>0</v>
      </c>
      <c r="E311">
        <v>811514.90999999992</v>
      </c>
      <c r="F311">
        <v>0</v>
      </c>
      <c r="G311">
        <v>875296.90132955159</v>
      </c>
      <c r="H311">
        <v>0.92713102121957858</v>
      </c>
    </row>
    <row r="312" spans="1:8" x14ac:dyDescent="0.5">
      <c r="A312" s="1">
        <v>43546</v>
      </c>
      <c r="B312">
        <v>584044.79999999993</v>
      </c>
      <c r="C312">
        <v>229106.31</v>
      </c>
      <c r="D312">
        <v>0</v>
      </c>
      <c r="E312">
        <v>813151.10999999987</v>
      </c>
      <c r="F312">
        <v>0</v>
      </c>
      <c r="G312">
        <v>875296.90132955159</v>
      </c>
      <c r="H312">
        <v>0.9290003297907784</v>
      </c>
    </row>
    <row r="313" spans="1:8" x14ac:dyDescent="0.5">
      <c r="A313" s="1">
        <v>43549</v>
      </c>
      <c r="B313">
        <v>576765.1</v>
      </c>
      <c r="C313">
        <v>229106.31</v>
      </c>
      <c r="D313">
        <v>0</v>
      </c>
      <c r="E313">
        <v>805871.40999999992</v>
      </c>
      <c r="F313">
        <v>0</v>
      </c>
      <c r="G313">
        <v>875296.90132955159</v>
      </c>
      <c r="H313">
        <v>0.92068349468152322</v>
      </c>
    </row>
    <row r="314" spans="1:8" x14ac:dyDescent="0.5">
      <c r="A314" s="1">
        <v>43550</v>
      </c>
      <c r="B314">
        <v>566541.1</v>
      </c>
      <c r="C314">
        <v>229106.31</v>
      </c>
      <c r="D314">
        <v>0</v>
      </c>
      <c r="E314">
        <v>795647.40999999992</v>
      </c>
      <c r="F314">
        <v>0</v>
      </c>
      <c r="G314">
        <v>875296.90132955159</v>
      </c>
      <c r="H314">
        <v>0.90900288666786511</v>
      </c>
    </row>
    <row r="315" spans="1:8" x14ac:dyDescent="0.5">
      <c r="A315" s="1">
        <v>43551</v>
      </c>
      <c r="B315">
        <v>569526.19999999995</v>
      </c>
      <c r="C315">
        <v>229106.31</v>
      </c>
      <c r="D315">
        <v>0</v>
      </c>
      <c r="E315">
        <v>798632.51</v>
      </c>
      <c r="F315">
        <v>0</v>
      </c>
      <c r="G315">
        <v>875296.90132955159</v>
      </c>
      <c r="H315">
        <v>0.912413272327252</v>
      </c>
    </row>
    <row r="316" spans="1:8" x14ac:dyDescent="0.5">
      <c r="A316" s="1">
        <v>43552</v>
      </c>
      <c r="B316">
        <v>567298.20000000007</v>
      </c>
      <c r="C316">
        <v>229106.31</v>
      </c>
      <c r="D316">
        <v>0</v>
      </c>
      <c r="E316">
        <v>796404.51</v>
      </c>
      <c r="F316">
        <v>0</v>
      </c>
      <c r="G316">
        <v>875296.90132955159</v>
      </c>
      <c r="H316">
        <v>0.90986785031488604</v>
      </c>
    </row>
    <row r="317" spans="1:8" x14ac:dyDescent="0.5">
      <c r="A317" s="1">
        <v>43553</v>
      </c>
      <c r="B317">
        <v>589395.19999999995</v>
      </c>
      <c r="C317">
        <v>229106.31</v>
      </c>
      <c r="D317">
        <v>0</v>
      </c>
      <c r="E317">
        <v>818501.51</v>
      </c>
      <c r="F317">
        <v>0</v>
      </c>
      <c r="G317">
        <v>875296.90132955159</v>
      </c>
      <c r="H317">
        <v>0.93511299852280871</v>
      </c>
    </row>
    <row r="318" spans="1:8" x14ac:dyDescent="0.5">
      <c r="A318" s="1">
        <v>43556</v>
      </c>
      <c r="B318">
        <v>607026.10000000009</v>
      </c>
      <c r="C318">
        <v>229106.31</v>
      </c>
      <c r="D318">
        <v>0</v>
      </c>
      <c r="E318">
        <v>836132.41000000015</v>
      </c>
      <c r="F318">
        <v>0</v>
      </c>
      <c r="G318">
        <v>875296.90132955159</v>
      </c>
      <c r="H318">
        <v>0.95525576376420196</v>
      </c>
    </row>
    <row r="319" spans="1:8" x14ac:dyDescent="0.5">
      <c r="A319" s="1">
        <v>43557</v>
      </c>
      <c r="B319">
        <v>606403.39999999991</v>
      </c>
      <c r="C319">
        <v>229106.31</v>
      </c>
      <c r="D319">
        <v>0</v>
      </c>
      <c r="E319">
        <v>835509.71</v>
      </c>
      <c r="F319">
        <v>0</v>
      </c>
      <c r="G319">
        <v>875296.90132955159</v>
      </c>
      <c r="H319">
        <v>0.95454434801595212</v>
      </c>
    </row>
    <row r="320" spans="1:8" x14ac:dyDescent="0.5">
      <c r="A320" s="1">
        <v>43558</v>
      </c>
      <c r="B320">
        <v>613674.19999999995</v>
      </c>
      <c r="C320">
        <v>229106.31</v>
      </c>
      <c r="D320">
        <v>0</v>
      </c>
      <c r="E320">
        <v>842780.51</v>
      </c>
      <c r="F320">
        <v>0</v>
      </c>
      <c r="G320">
        <v>875296.90132955159</v>
      </c>
      <c r="H320">
        <v>0.96285101514679183</v>
      </c>
    </row>
    <row r="321" spans="1:8" x14ac:dyDescent="0.5">
      <c r="A321" s="1">
        <v>43559</v>
      </c>
      <c r="B321">
        <v>619640.30000000005</v>
      </c>
      <c r="C321">
        <v>229106.31</v>
      </c>
      <c r="D321">
        <v>0</v>
      </c>
      <c r="E321">
        <v>848746.6100000001</v>
      </c>
      <c r="F321">
        <v>0</v>
      </c>
      <c r="G321">
        <v>875296.90132955159</v>
      </c>
      <c r="H321">
        <v>0.96966710234067743</v>
      </c>
    </row>
    <row r="322" spans="1:8" x14ac:dyDescent="0.5">
      <c r="A322" s="1">
        <v>43563</v>
      </c>
      <c r="B322">
        <v>614724.20000000007</v>
      </c>
      <c r="C322">
        <v>229106.31</v>
      </c>
      <c r="D322">
        <v>0</v>
      </c>
      <c r="E322">
        <v>843830.51</v>
      </c>
      <c r="F322">
        <v>0</v>
      </c>
      <c r="G322">
        <v>875296.90132955159</v>
      </c>
      <c r="H322">
        <v>0.96405060810594101</v>
      </c>
    </row>
    <row r="323" spans="1:8" x14ac:dyDescent="0.5">
      <c r="A323" s="1">
        <v>43564</v>
      </c>
      <c r="B323">
        <v>616824.1</v>
      </c>
      <c r="C323">
        <v>229106.31</v>
      </c>
      <c r="D323">
        <v>0</v>
      </c>
      <c r="E323">
        <v>845930.40999999992</v>
      </c>
      <c r="F323">
        <v>0</v>
      </c>
      <c r="G323">
        <v>875296.90132955159</v>
      </c>
      <c r="H323">
        <v>0.96644967977729068</v>
      </c>
    </row>
    <row r="324" spans="1:8" x14ac:dyDescent="0.5">
      <c r="A324" s="1">
        <v>43565</v>
      </c>
      <c r="B324">
        <v>616769</v>
      </c>
      <c r="C324">
        <v>229106.31</v>
      </c>
      <c r="D324">
        <v>0</v>
      </c>
      <c r="E324">
        <v>845875.31</v>
      </c>
      <c r="F324">
        <v>0</v>
      </c>
      <c r="G324">
        <v>875296.90132955159</v>
      </c>
      <c r="H324">
        <v>0.96638672970867256</v>
      </c>
    </row>
    <row r="325" spans="1:8" x14ac:dyDescent="0.5">
      <c r="A325" s="1">
        <v>43566</v>
      </c>
      <c r="B325">
        <v>606331.20000000007</v>
      </c>
      <c r="C325">
        <v>229106.31</v>
      </c>
      <c r="D325">
        <v>0</v>
      </c>
      <c r="E325">
        <v>835437.51</v>
      </c>
      <c r="F325">
        <v>0</v>
      </c>
      <c r="G325">
        <v>875296.90132955159</v>
      </c>
      <c r="H325">
        <v>0.95446186171914205</v>
      </c>
    </row>
    <row r="326" spans="1:8" x14ac:dyDescent="0.5">
      <c r="A326" s="1">
        <v>43567</v>
      </c>
      <c r="B326">
        <v>604609.6</v>
      </c>
      <c r="C326">
        <v>229106.31</v>
      </c>
      <c r="D326">
        <v>0</v>
      </c>
      <c r="E326">
        <v>833715.90999999992</v>
      </c>
      <c r="F326">
        <v>0</v>
      </c>
      <c r="G326">
        <v>875296.90132955159</v>
      </c>
      <c r="H326">
        <v>0.95249498625393136</v>
      </c>
    </row>
    <row r="327" spans="1:8" x14ac:dyDescent="0.5">
      <c r="A327" s="1">
        <v>43570</v>
      </c>
      <c r="B327">
        <v>601334.9</v>
      </c>
      <c r="C327">
        <v>229106.31</v>
      </c>
      <c r="D327">
        <v>0</v>
      </c>
      <c r="E327">
        <v>830441.21</v>
      </c>
      <c r="F327">
        <v>0</v>
      </c>
      <c r="G327">
        <v>875296.90132955159</v>
      </c>
      <c r="H327">
        <v>0.94875374143171642</v>
      </c>
    </row>
    <row r="328" spans="1:8" x14ac:dyDescent="0.5">
      <c r="A328" s="1">
        <v>43571</v>
      </c>
      <c r="B328">
        <v>617482.6</v>
      </c>
      <c r="C328">
        <v>229106.31</v>
      </c>
      <c r="D328">
        <v>0</v>
      </c>
      <c r="E328">
        <v>846588.90999999992</v>
      </c>
      <c r="F328">
        <v>0</v>
      </c>
      <c r="G328">
        <v>875296.90132955159</v>
      </c>
      <c r="H328">
        <v>0.96720199593309997</v>
      </c>
    </row>
    <row r="329" spans="1:8" x14ac:dyDescent="0.5">
      <c r="A329" s="1">
        <v>43572</v>
      </c>
      <c r="B329">
        <v>616426.30000000005</v>
      </c>
      <c r="C329">
        <v>229106.31</v>
      </c>
      <c r="D329">
        <v>0</v>
      </c>
      <c r="E329">
        <v>845532.6100000001</v>
      </c>
      <c r="F329">
        <v>0</v>
      </c>
      <c r="G329">
        <v>875296.90132955159</v>
      </c>
      <c r="H329">
        <v>0.9659952054161961</v>
      </c>
    </row>
    <row r="330" spans="1:8" x14ac:dyDescent="0.5">
      <c r="A330" s="1">
        <v>43573</v>
      </c>
      <c r="B330">
        <v>616175</v>
      </c>
      <c r="C330">
        <v>229106.31</v>
      </c>
      <c r="D330">
        <v>0</v>
      </c>
      <c r="E330">
        <v>845281.31</v>
      </c>
      <c r="F330">
        <v>0</v>
      </c>
      <c r="G330">
        <v>875296.90132955159</v>
      </c>
      <c r="H330">
        <v>0.9657081028346397</v>
      </c>
    </row>
    <row r="331" spans="1:8" x14ac:dyDescent="0.5">
      <c r="A331" s="1">
        <v>43574</v>
      </c>
      <c r="B331">
        <v>622869.70000000007</v>
      </c>
      <c r="C331">
        <v>229106.31</v>
      </c>
      <c r="D331">
        <v>0</v>
      </c>
      <c r="E331">
        <v>851976.01</v>
      </c>
      <c r="F331">
        <v>0</v>
      </c>
      <c r="G331">
        <v>875296.90132955159</v>
      </c>
      <c r="H331">
        <v>0.97335659329522617</v>
      </c>
    </row>
    <row r="332" spans="1:8" x14ac:dyDescent="0.5">
      <c r="A332" s="1">
        <v>43577</v>
      </c>
      <c r="B332">
        <v>609492.09999999986</v>
      </c>
      <c r="C332">
        <v>229106.31</v>
      </c>
      <c r="D332">
        <v>0</v>
      </c>
      <c r="E332">
        <v>838598.40999999992</v>
      </c>
      <c r="F332">
        <v>0</v>
      </c>
      <c r="G332">
        <v>875296.90132955159</v>
      </c>
      <c r="H332">
        <v>0.95807309351397485</v>
      </c>
    </row>
    <row r="333" spans="1:8" x14ac:dyDescent="0.5">
      <c r="A333" s="1">
        <v>43578</v>
      </c>
      <c r="B333">
        <v>604721.80000000005</v>
      </c>
      <c r="C333">
        <v>229106.31</v>
      </c>
      <c r="D333">
        <v>0</v>
      </c>
      <c r="E333">
        <v>833828.1100000001</v>
      </c>
      <c r="F333">
        <v>0</v>
      </c>
      <c r="G333">
        <v>875296.90132955159</v>
      </c>
      <c r="H333">
        <v>0.95262317133013774</v>
      </c>
    </row>
    <row r="334" spans="1:8" x14ac:dyDescent="0.5">
      <c r="A334" s="1">
        <v>43579</v>
      </c>
      <c r="B334">
        <v>606717.49999999988</v>
      </c>
      <c r="C334">
        <v>229106.31</v>
      </c>
      <c r="D334">
        <v>0</v>
      </c>
      <c r="E334">
        <v>835823.80999999982</v>
      </c>
      <c r="F334">
        <v>0</v>
      </c>
      <c r="G334">
        <v>875296.90132955159</v>
      </c>
      <c r="H334">
        <v>0.95490319768116028</v>
      </c>
    </row>
    <row r="335" spans="1:8" x14ac:dyDescent="0.5">
      <c r="A335" s="1">
        <v>43580</v>
      </c>
      <c r="B335">
        <v>592115.30000000005</v>
      </c>
      <c r="C335">
        <v>229106.31</v>
      </c>
      <c r="D335">
        <v>0</v>
      </c>
      <c r="E335">
        <v>821221.6100000001</v>
      </c>
      <c r="F335">
        <v>0</v>
      </c>
      <c r="G335">
        <v>875296.90132955159</v>
      </c>
      <c r="H335">
        <v>0.93822062976869602</v>
      </c>
    </row>
    <row r="336" spans="1:8" x14ac:dyDescent="0.5">
      <c r="A336" s="1">
        <v>43581</v>
      </c>
      <c r="B336">
        <v>585451.89999999991</v>
      </c>
      <c r="C336">
        <v>229106.31</v>
      </c>
      <c r="D336">
        <v>0</v>
      </c>
      <c r="E336">
        <v>814558.21</v>
      </c>
      <c r="F336">
        <v>0</v>
      </c>
      <c r="G336">
        <v>875296.90132955159</v>
      </c>
      <c r="H336">
        <v>0.93060789860298687</v>
      </c>
    </row>
    <row r="337" spans="1:8" x14ac:dyDescent="0.5">
      <c r="A337" s="1">
        <v>43584</v>
      </c>
      <c r="B337">
        <v>583865.39999999991</v>
      </c>
      <c r="C337">
        <v>229106.31</v>
      </c>
      <c r="D337">
        <v>0</v>
      </c>
      <c r="E337">
        <v>812971.71</v>
      </c>
      <c r="F337">
        <v>0</v>
      </c>
      <c r="G337">
        <v>875296.90132955159</v>
      </c>
      <c r="H337">
        <v>0.92879537076518681</v>
      </c>
    </row>
    <row r="338" spans="1:8" x14ac:dyDescent="0.5">
      <c r="A338" s="1">
        <v>43585</v>
      </c>
      <c r="B338">
        <v>585192.19999999995</v>
      </c>
      <c r="C338">
        <v>229106.31</v>
      </c>
      <c r="D338">
        <v>0</v>
      </c>
      <c r="E338">
        <v>814298.51</v>
      </c>
      <c r="F338">
        <v>0</v>
      </c>
      <c r="G338">
        <v>875296.90132955159</v>
      </c>
      <c r="H338">
        <v>0.93031119927775741</v>
      </c>
    </row>
    <row r="339" spans="1:8" x14ac:dyDescent="0.5">
      <c r="A339" s="1">
        <v>43591</v>
      </c>
      <c r="B339">
        <v>550806.6</v>
      </c>
      <c r="C339">
        <v>229106.31</v>
      </c>
      <c r="D339">
        <v>0</v>
      </c>
      <c r="E339">
        <v>779912.90999999992</v>
      </c>
      <c r="F339">
        <v>0</v>
      </c>
      <c r="G339">
        <v>875296.90132955159</v>
      </c>
      <c r="H339">
        <v>0.89102670055764388</v>
      </c>
    </row>
    <row r="340" spans="1:8" x14ac:dyDescent="0.5">
      <c r="A340" s="1">
        <v>43592</v>
      </c>
      <c r="B340">
        <v>555877.79999999993</v>
      </c>
      <c r="C340">
        <v>229106.31</v>
      </c>
      <c r="D340">
        <v>0</v>
      </c>
      <c r="E340">
        <v>784984.10999999987</v>
      </c>
      <c r="F340">
        <v>0</v>
      </c>
      <c r="G340">
        <v>875296.90132955159</v>
      </c>
      <c r="H340">
        <v>0.89682039180948869</v>
      </c>
    </row>
    <row r="341" spans="1:8" x14ac:dyDescent="0.5">
      <c r="A341" s="1">
        <v>43593</v>
      </c>
      <c r="B341">
        <v>572362.89999999991</v>
      </c>
      <c r="C341">
        <v>207031.69</v>
      </c>
      <c r="D341">
        <v>0</v>
      </c>
      <c r="E341">
        <v>779394.58999999985</v>
      </c>
      <c r="F341">
        <v>0</v>
      </c>
      <c r="G341">
        <v>875296.90132955159</v>
      </c>
      <c r="H341">
        <v>0.89043453577422838</v>
      </c>
    </row>
    <row r="342" spans="1:8" x14ac:dyDescent="0.5">
      <c r="A342" s="1">
        <v>43594</v>
      </c>
      <c r="B342">
        <v>566036.70000000007</v>
      </c>
      <c r="C342">
        <v>207031.69</v>
      </c>
      <c r="D342">
        <v>0</v>
      </c>
      <c r="E342">
        <v>773068.39000000013</v>
      </c>
      <c r="F342">
        <v>0</v>
      </c>
      <c r="G342">
        <v>875296.90132955159</v>
      </c>
      <c r="H342">
        <v>0.88320704531882932</v>
      </c>
    </row>
    <row r="343" spans="1:8" x14ac:dyDescent="0.5">
      <c r="A343" s="1">
        <v>43595</v>
      </c>
      <c r="B343">
        <v>584223.4</v>
      </c>
      <c r="C343">
        <v>207031.69</v>
      </c>
      <c r="D343">
        <v>0</v>
      </c>
      <c r="E343">
        <v>791255.09000000008</v>
      </c>
      <c r="F343">
        <v>0</v>
      </c>
      <c r="G343">
        <v>875296.90132955159</v>
      </c>
      <c r="H343">
        <v>0.90398479509993201</v>
      </c>
    </row>
    <row r="344" spans="1:8" x14ac:dyDescent="0.5">
      <c r="A344" s="1">
        <v>43598</v>
      </c>
      <c r="B344">
        <v>575822.9</v>
      </c>
      <c r="C344">
        <v>206456.49</v>
      </c>
      <c r="D344">
        <v>0</v>
      </c>
      <c r="E344">
        <v>782279.39</v>
      </c>
      <c r="F344">
        <v>0</v>
      </c>
      <c r="G344">
        <v>875296.90132955159</v>
      </c>
      <c r="H344">
        <v>0.89373033174427952</v>
      </c>
    </row>
    <row r="345" spans="1:8" x14ac:dyDescent="0.5">
      <c r="A345" s="1">
        <v>43599</v>
      </c>
      <c r="B345">
        <v>572320.19999999995</v>
      </c>
      <c r="C345">
        <v>206456.49</v>
      </c>
      <c r="D345">
        <v>0</v>
      </c>
      <c r="E345">
        <v>778776.69</v>
      </c>
      <c r="F345">
        <v>0</v>
      </c>
      <c r="G345">
        <v>875296.90132955159</v>
      </c>
      <c r="H345">
        <v>0.88972860387950636</v>
      </c>
    </row>
    <row r="346" spans="1:8" x14ac:dyDescent="0.5">
      <c r="A346" s="1">
        <v>43600</v>
      </c>
      <c r="B346">
        <v>582222.79999999993</v>
      </c>
      <c r="C346">
        <v>206456.49</v>
      </c>
      <c r="D346">
        <v>0</v>
      </c>
      <c r="E346">
        <v>788679.28999999992</v>
      </c>
      <c r="F346">
        <v>0</v>
      </c>
      <c r="G346">
        <v>875296.90132955159</v>
      </c>
      <c r="H346">
        <v>0.90104202220071616</v>
      </c>
    </row>
    <row r="347" spans="1:8" x14ac:dyDescent="0.5">
      <c r="A347" s="1">
        <v>43601</v>
      </c>
      <c r="B347">
        <v>586636.49999999988</v>
      </c>
      <c r="C347">
        <v>206456.49</v>
      </c>
      <c r="D347">
        <v>0</v>
      </c>
      <c r="E347">
        <v>793092.98999999987</v>
      </c>
      <c r="F347">
        <v>0</v>
      </c>
      <c r="G347">
        <v>875296.90132955159</v>
      </c>
      <c r="H347">
        <v>0.90608453976623671</v>
      </c>
    </row>
    <row r="348" spans="1:8" x14ac:dyDescent="0.5">
      <c r="A348" s="1">
        <v>43602</v>
      </c>
      <c r="B348">
        <v>572441.60000000009</v>
      </c>
      <c r="C348">
        <v>206456.49</v>
      </c>
      <c r="D348">
        <v>0</v>
      </c>
      <c r="E348">
        <v>778898.09000000008</v>
      </c>
      <c r="F348">
        <v>0</v>
      </c>
      <c r="G348">
        <v>875296.90132955159</v>
      </c>
      <c r="H348">
        <v>0.8898672996749738</v>
      </c>
    </row>
    <row r="349" spans="1:8" x14ac:dyDescent="0.5">
      <c r="A349" s="1">
        <v>43605</v>
      </c>
      <c r="B349">
        <v>572372.6</v>
      </c>
      <c r="C349">
        <v>206456.49</v>
      </c>
      <c r="D349">
        <v>0</v>
      </c>
      <c r="E349">
        <v>778829.09</v>
      </c>
      <c r="F349">
        <v>0</v>
      </c>
      <c r="G349">
        <v>875296.90132955159</v>
      </c>
      <c r="H349">
        <v>0.88978846928051536</v>
      </c>
    </row>
    <row r="350" spans="1:8" x14ac:dyDescent="0.5">
      <c r="A350" s="1">
        <v>43606</v>
      </c>
      <c r="B350">
        <v>579168.69999999995</v>
      </c>
      <c r="C350">
        <v>206456.49</v>
      </c>
      <c r="D350">
        <v>0</v>
      </c>
      <c r="E350">
        <v>785625.19</v>
      </c>
      <c r="F350">
        <v>0</v>
      </c>
      <c r="G350">
        <v>875296.90132955159</v>
      </c>
      <c r="H350">
        <v>0.89755280614687105</v>
      </c>
    </row>
    <row r="351" spans="1:8" x14ac:dyDescent="0.5">
      <c r="A351" s="1">
        <v>43607</v>
      </c>
      <c r="B351">
        <v>577223.30000000005</v>
      </c>
      <c r="C351">
        <v>206456.49</v>
      </c>
      <c r="D351">
        <v>0</v>
      </c>
      <c r="E351">
        <v>783679.79</v>
      </c>
      <c r="F351">
        <v>0</v>
      </c>
      <c r="G351">
        <v>875296.90132955159</v>
      </c>
      <c r="H351">
        <v>0.89533024601093902</v>
      </c>
    </row>
    <row r="352" spans="1:8" x14ac:dyDescent="0.5">
      <c r="A352" s="1">
        <v>43608</v>
      </c>
      <c r="B352">
        <v>569044.79999999993</v>
      </c>
      <c r="C352">
        <v>206456.49</v>
      </c>
      <c r="D352">
        <v>0</v>
      </c>
      <c r="E352">
        <v>775501.28999999992</v>
      </c>
      <c r="F352">
        <v>0</v>
      </c>
      <c r="G352">
        <v>875296.90132955159</v>
      </c>
      <c r="H352">
        <v>0.88598655932865189</v>
      </c>
    </row>
    <row r="353" spans="1:8" x14ac:dyDescent="0.5">
      <c r="A353" s="1">
        <v>43609</v>
      </c>
      <c r="B353">
        <v>564542.69999999995</v>
      </c>
      <c r="C353">
        <v>206456.49</v>
      </c>
      <c r="D353">
        <v>0</v>
      </c>
      <c r="E353">
        <v>770999.19</v>
      </c>
      <c r="F353">
        <v>0</v>
      </c>
      <c r="G353">
        <v>875296.90132955159</v>
      </c>
      <c r="H353">
        <v>0.88084304746066577</v>
      </c>
    </row>
    <row r="354" spans="1:8" x14ac:dyDescent="0.5">
      <c r="A354" s="1">
        <v>43612</v>
      </c>
      <c r="B354">
        <v>575676.1</v>
      </c>
      <c r="C354">
        <v>206456.49</v>
      </c>
      <c r="D354">
        <v>0</v>
      </c>
      <c r="E354">
        <v>782132.59</v>
      </c>
      <c r="F354">
        <v>0</v>
      </c>
      <c r="G354">
        <v>875296.90132955159</v>
      </c>
      <c r="H354">
        <v>0.89356261722389552</v>
      </c>
    </row>
    <row r="355" spans="1:8" x14ac:dyDescent="0.5">
      <c r="A355" s="1">
        <v>43613</v>
      </c>
      <c r="B355">
        <v>576352.9</v>
      </c>
      <c r="C355">
        <v>206456.49</v>
      </c>
      <c r="D355">
        <v>0</v>
      </c>
      <c r="E355">
        <v>782809.39</v>
      </c>
      <c r="F355">
        <v>0</v>
      </c>
      <c r="G355">
        <v>875296.90132955159</v>
      </c>
      <c r="H355">
        <v>0.89433584057127857</v>
      </c>
    </row>
    <row r="356" spans="1:8" x14ac:dyDescent="0.5">
      <c r="A356" s="1">
        <v>43614</v>
      </c>
      <c r="B356">
        <v>576941.70000000007</v>
      </c>
      <c r="C356">
        <v>206456.49</v>
      </c>
      <c r="D356">
        <v>0</v>
      </c>
      <c r="E356">
        <v>783398.19000000006</v>
      </c>
      <c r="F356">
        <v>0</v>
      </c>
      <c r="G356">
        <v>875296.90132955159</v>
      </c>
      <c r="H356">
        <v>0.89500852660399011</v>
      </c>
    </row>
    <row r="357" spans="1:8" x14ac:dyDescent="0.5">
      <c r="A357" s="1">
        <v>43615</v>
      </c>
      <c r="B357">
        <v>575078.1</v>
      </c>
      <c r="C357">
        <v>206456.49</v>
      </c>
      <c r="D357">
        <v>0</v>
      </c>
      <c r="E357">
        <v>781534.59</v>
      </c>
      <c r="F357">
        <v>0</v>
      </c>
      <c r="G357">
        <v>875296.90132955159</v>
      </c>
      <c r="H357">
        <v>0.89287942047192292</v>
      </c>
    </row>
    <row r="358" spans="1:8" x14ac:dyDescent="0.5">
      <c r="A358" s="1">
        <v>43616</v>
      </c>
      <c r="B358">
        <v>573156.29999999993</v>
      </c>
      <c r="C358">
        <v>206456.49</v>
      </c>
      <c r="D358">
        <v>0</v>
      </c>
      <c r="E358">
        <v>779612.78999999992</v>
      </c>
      <c r="F358">
        <v>0</v>
      </c>
      <c r="G358">
        <v>875296.90132955159</v>
      </c>
      <c r="H358">
        <v>0.89068382261583445</v>
      </c>
    </row>
    <row r="359" spans="1:8" x14ac:dyDescent="0.5">
      <c r="A359" s="1">
        <v>43619</v>
      </c>
      <c r="B359">
        <v>571651</v>
      </c>
      <c r="C359">
        <v>206456.49</v>
      </c>
      <c r="D359">
        <v>0</v>
      </c>
      <c r="E359">
        <v>778107.49</v>
      </c>
      <c r="F359">
        <v>0</v>
      </c>
      <c r="G359">
        <v>875296.90132955159</v>
      </c>
      <c r="H359">
        <v>0.88896406330020861</v>
      </c>
    </row>
    <row r="360" spans="1:8" x14ac:dyDescent="0.5">
      <c r="A360" s="1">
        <v>43620</v>
      </c>
      <c r="B360">
        <v>564601.89999999991</v>
      </c>
      <c r="C360">
        <v>206456.49</v>
      </c>
      <c r="D360">
        <v>0</v>
      </c>
      <c r="E360">
        <v>771058.3899999999</v>
      </c>
      <c r="F360">
        <v>0</v>
      </c>
      <c r="G360">
        <v>875296.90132955159</v>
      </c>
      <c r="H360">
        <v>0.88091068165417208</v>
      </c>
    </row>
    <row r="361" spans="1:8" x14ac:dyDescent="0.5">
      <c r="A361" s="1">
        <v>43621</v>
      </c>
      <c r="B361">
        <v>563320.1</v>
      </c>
      <c r="C361">
        <v>206456.49</v>
      </c>
      <c r="D361">
        <v>0</v>
      </c>
      <c r="E361">
        <v>769776.59</v>
      </c>
      <c r="F361">
        <v>0</v>
      </c>
      <c r="G361">
        <v>875296.90132955159</v>
      </c>
      <c r="H361">
        <v>0.87944626426842232</v>
      </c>
    </row>
    <row r="362" spans="1:8" x14ac:dyDescent="0.5">
      <c r="A362" s="1">
        <v>43622</v>
      </c>
      <c r="B362">
        <v>556168.49999999988</v>
      </c>
      <c r="C362">
        <v>206456.49</v>
      </c>
      <c r="D362">
        <v>0</v>
      </c>
      <c r="E362">
        <v>762624.98999999987</v>
      </c>
      <c r="F362">
        <v>0</v>
      </c>
      <c r="G362">
        <v>875296.90132955159</v>
      </c>
      <c r="H362">
        <v>0.87127577950018309</v>
      </c>
    </row>
    <row r="363" spans="1:8" x14ac:dyDescent="0.5">
      <c r="A363" s="1">
        <v>43626</v>
      </c>
      <c r="B363">
        <v>562737.20000000007</v>
      </c>
      <c r="C363">
        <v>206456.49</v>
      </c>
      <c r="D363">
        <v>0</v>
      </c>
      <c r="E363">
        <v>769193.69000000006</v>
      </c>
      <c r="F363">
        <v>0</v>
      </c>
      <c r="G363">
        <v>875296.90132955159</v>
      </c>
      <c r="H363">
        <v>0.87878031880567187</v>
      </c>
    </row>
    <row r="364" spans="1:8" x14ac:dyDescent="0.5">
      <c r="A364" s="1">
        <v>43627</v>
      </c>
      <c r="B364">
        <v>579650.29999999993</v>
      </c>
      <c r="C364">
        <v>206456.49</v>
      </c>
      <c r="D364">
        <v>0</v>
      </c>
      <c r="E364">
        <v>786106.78999999992</v>
      </c>
      <c r="F364">
        <v>0</v>
      </c>
      <c r="G364">
        <v>875296.90132955159</v>
      </c>
      <c r="H364">
        <v>0.89810301945080073</v>
      </c>
    </row>
    <row r="365" spans="1:8" x14ac:dyDescent="0.5">
      <c r="A365" s="1">
        <v>43628</v>
      </c>
      <c r="B365">
        <v>683011.70000000007</v>
      </c>
      <c r="C365">
        <v>103286.63999999998</v>
      </c>
      <c r="D365">
        <v>0</v>
      </c>
      <c r="E365">
        <v>786298.34000000008</v>
      </c>
      <c r="F365">
        <v>0</v>
      </c>
      <c r="G365">
        <v>875296.90132955159</v>
      </c>
      <c r="H365">
        <v>0.89832185948063437</v>
      </c>
    </row>
    <row r="366" spans="1:8" x14ac:dyDescent="0.5">
      <c r="A366" s="1">
        <v>43629</v>
      </c>
      <c r="B366">
        <v>680916.3</v>
      </c>
      <c r="C366">
        <v>103286.63999999998</v>
      </c>
      <c r="D366">
        <v>0</v>
      </c>
      <c r="E366">
        <v>784202.94000000006</v>
      </c>
      <c r="F366">
        <v>0</v>
      </c>
      <c r="G366">
        <v>875296.90132955159</v>
      </c>
      <c r="H366">
        <v>0.8959279289219666</v>
      </c>
    </row>
    <row r="367" spans="1:8" x14ac:dyDescent="0.5">
      <c r="A367" s="1">
        <v>43630</v>
      </c>
      <c r="B367">
        <v>672271.8</v>
      </c>
      <c r="C367">
        <v>103286.63999999998</v>
      </c>
      <c r="D367">
        <v>0</v>
      </c>
      <c r="E367">
        <v>775558.44000000006</v>
      </c>
      <c r="F367">
        <v>0</v>
      </c>
      <c r="G367">
        <v>875296.90132955159</v>
      </c>
      <c r="H367">
        <v>0.88605185145971432</v>
      </c>
    </row>
    <row r="368" spans="1:8" x14ac:dyDescent="0.5">
      <c r="A368" s="1">
        <v>43633</v>
      </c>
      <c r="B368">
        <v>646982.69999999995</v>
      </c>
      <c r="C368">
        <v>125300.02999999998</v>
      </c>
      <c r="D368">
        <v>0</v>
      </c>
      <c r="E368">
        <v>772282.73</v>
      </c>
      <c r="F368">
        <v>0</v>
      </c>
      <c r="G368">
        <v>875296.90132955159</v>
      </c>
      <c r="H368">
        <v>0.88230945274331951</v>
      </c>
    </row>
    <row r="369" spans="1:8" x14ac:dyDescent="0.5">
      <c r="A369" s="1">
        <v>43634</v>
      </c>
      <c r="B369">
        <v>644426.30000000005</v>
      </c>
      <c r="C369">
        <v>45300.029999999984</v>
      </c>
      <c r="D369">
        <v>-80000</v>
      </c>
      <c r="E369">
        <v>689726.33000000007</v>
      </c>
      <c r="F369">
        <v>-90671.135565033459</v>
      </c>
      <c r="G369">
        <v>784625.76576451818</v>
      </c>
      <c r="H369">
        <v>0.8790513389882747</v>
      </c>
    </row>
    <row r="370" spans="1:8" x14ac:dyDescent="0.5">
      <c r="A370" s="1">
        <v>43635</v>
      </c>
      <c r="B370">
        <v>658155.30000000005</v>
      </c>
      <c r="C370">
        <v>45300.029999999984</v>
      </c>
      <c r="D370">
        <v>0</v>
      </c>
      <c r="E370">
        <v>703455.33000000007</v>
      </c>
      <c r="F370">
        <v>0</v>
      </c>
      <c r="G370">
        <v>784625.76576451818</v>
      </c>
      <c r="H370">
        <v>0.89654885257887518</v>
      </c>
    </row>
    <row r="371" spans="1:8" x14ac:dyDescent="0.5">
      <c r="A371" s="1">
        <v>43636</v>
      </c>
      <c r="B371">
        <v>672013.4</v>
      </c>
      <c r="C371">
        <v>45400.429999999986</v>
      </c>
      <c r="D371">
        <v>0</v>
      </c>
      <c r="E371">
        <v>717413.83</v>
      </c>
      <c r="F371">
        <v>0</v>
      </c>
      <c r="G371">
        <v>784625.76576451818</v>
      </c>
      <c r="H371">
        <v>0.91433886229949546</v>
      </c>
    </row>
    <row r="372" spans="1:8" x14ac:dyDescent="0.5">
      <c r="A372" s="1">
        <v>43637</v>
      </c>
      <c r="B372">
        <v>679052</v>
      </c>
      <c r="C372">
        <v>45400.429999999986</v>
      </c>
      <c r="D372">
        <v>0</v>
      </c>
      <c r="E372">
        <v>724452.42999999993</v>
      </c>
      <c r="F372">
        <v>0</v>
      </c>
      <c r="G372">
        <v>784625.76576451818</v>
      </c>
      <c r="H372">
        <v>0.92330950831586955</v>
      </c>
    </row>
    <row r="373" spans="1:8" x14ac:dyDescent="0.5">
      <c r="A373" s="1">
        <v>43640</v>
      </c>
      <c r="B373">
        <v>678639.9</v>
      </c>
      <c r="C373">
        <v>45400.429999999986</v>
      </c>
      <c r="D373">
        <v>0</v>
      </c>
      <c r="E373">
        <v>724040.33</v>
      </c>
      <c r="F373">
        <v>0</v>
      </c>
      <c r="G373">
        <v>784625.76576451818</v>
      </c>
      <c r="H373">
        <v>0.92278428977477511</v>
      </c>
    </row>
    <row r="374" spans="1:8" x14ac:dyDescent="0.5">
      <c r="A374" s="1">
        <v>43641</v>
      </c>
      <c r="B374">
        <v>671474.89999999991</v>
      </c>
      <c r="C374">
        <v>45400.429999999986</v>
      </c>
      <c r="D374">
        <v>0</v>
      </c>
      <c r="E374">
        <v>716875.32999999984</v>
      </c>
      <c r="F374">
        <v>0</v>
      </c>
      <c r="G374">
        <v>784625.76576451818</v>
      </c>
      <c r="H374">
        <v>0.91365254785062511</v>
      </c>
    </row>
    <row r="375" spans="1:8" x14ac:dyDescent="0.5">
      <c r="A375" s="1">
        <v>43642</v>
      </c>
      <c r="B375">
        <v>675275.7</v>
      </c>
      <c r="C375">
        <v>45400.429999999986</v>
      </c>
      <c r="D375">
        <v>0</v>
      </c>
      <c r="E375">
        <v>720676.12999999989</v>
      </c>
      <c r="F375">
        <v>0</v>
      </c>
      <c r="G375">
        <v>784625.76576451818</v>
      </c>
      <c r="H375">
        <v>0.91849664062177783</v>
      </c>
    </row>
    <row r="376" spans="1:8" x14ac:dyDescent="0.5">
      <c r="A376" s="1">
        <v>43643</v>
      </c>
      <c r="B376">
        <v>683601.10000000009</v>
      </c>
      <c r="C376">
        <v>45400.429999999986</v>
      </c>
      <c r="D376">
        <v>0</v>
      </c>
      <c r="E376">
        <v>729001.53</v>
      </c>
      <c r="F376">
        <v>0</v>
      </c>
      <c r="G376">
        <v>784625.76576451818</v>
      </c>
      <c r="H376">
        <v>0.92910730415496945</v>
      </c>
    </row>
    <row r="377" spans="1:8" x14ac:dyDescent="0.5">
      <c r="A377" s="1">
        <v>43644</v>
      </c>
      <c r="B377">
        <v>677441.29999999993</v>
      </c>
      <c r="C377">
        <v>45400.429999999986</v>
      </c>
      <c r="D377">
        <v>0</v>
      </c>
      <c r="E377">
        <v>722841.72999999986</v>
      </c>
      <c r="F377">
        <v>0</v>
      </c>
      <c r="G377">
        <v>784625.76576451818</v>
      </c>
      <c r="H377">
        <v>0.92125668253537707</v>
      </c>
    </row>
    <row r="378" spans="1:8" x14ac:dyDescent="0.5">
      <c r="A378" s="1">
        <v>43647</v>
      </c>
      <c r="B378">
        <v>697176.7</v>
      </c>
      <c r="C378">
        <v>45400.429999999986</v>
      </c>
      <c r="D378">
        <v>0</v>
      </c>
      <c r="E378">
        <v>742577.12999999989</v>
      </c>
      <c r="F378">
        <v>0</v>
      </c>
      <c r="G378">
        <v>784625.76576451818</v>
      </c>
      <c r="H378">
        <v>0.94640931052838007</v>
      </c>
    </row>
    <row r="379" spans="1:8" x14ac:dyDescent="0.5">
      <c r="A379" s="1">
        <v>43648</v>
      </c>
      <c r="B379">
        <v>696073</v>
      </c>
      <c r="C379">
        <v>45400.429999999986</v>
      </c>
      <c r="D379">
        <v>0</v>
      </c>
      <c r="E379">
        <v>741473.42999999993</v>
      </c>
      <c r="F379">
        <v>0</v>
      </c>
      <c r="G379">
        <v>784625.76576451818</v>
      </c>
      <c r="H379">
        <v>0.9450026526691081</v>
      </c>
    </row>
    <row r="380" spans="1:8" x14ac:dyDescent="0.5">
      <c r="A380" s="1">
        <v>43649</v>
      </c>
      <c r="B380">
        <v>693676</v>
      </c>
      <c r="C380">
        <v>45400.429999999986</v>
      </c>
      <c r="D380">
        <v>0</v>
      </c>
      <c r="E380">
        <v>739076.42999999993</v>
      </c>
      <c r="F380">
        <v>0</v>
      </c>
      <c r="G380">
        <v>784625.76576451818</v>
      </c>
      <c r="H380">
        <v>0.94194769308890058</v>
      </c>
    </row>
    <row r="381" spans="1:8" x14ac:dyDescent="0.5">
      <c r="A381" s="1">
        <v>43650</v>
      </c>
      <c r="B381">
        <v>692646.5</v>
      </c>
      <c r="C381">
        <v>45400.429999999986</v>
      </c>
      <c r="D381">
        <v>0</v>
      </c>
      <c r="E381">
        <v>738046.92999999993</v>
      </c>
      <c r="F381">
        <v>0</v>
      </c>
      <c r="G381">
        <v>784625.76576451818</v>
      </c>
      <c r="H381">
        <v>0.9406356026058702</v>
      </c>
    </row>
    <row r="382" spans="1:8" x14ac:dyDescent="0.5">
      <c r="A382" s="1">
        <v>43651</v>
      </c>
      <c r="B382">
        <v>694856.00000000012</v>
      </c>
      <c r="C382">
        <v>45400.429999999986</v>
      </c>
      <c r="D382">
        <v>0</v>
      </c>
      <c r="E382">
        <v>740256.43</v>
      </c>
      <c r="F382">
        <v>0</v>
      </c>
      <c r="G382">
        <v>784625.76576451818</v>
      </c>
      <c r="H382">
        <v>0.94345159475959106</v>
      </c>
    </row>
    <row r="383" spans="1:8" x14ac:dyDescent="0.5">
      <c r="A383" s="1">
        <v>43654</v>
      </c>
      <c r="B383">
        <v>672645.20000000007</v>
      </c>
      <c r="C383">
        <v>45400.429999999986</v>
      </c>
      <c r="D383">
        <v>0</v>
      </c>
      <c r="E383">
        <v>718045.63</v>
      </c>
      <c r="F383">
        <v>0</v>
      </c>
      <c r="G383">
        <v>784625.76576451818</v>
      </c>
      <c r="H383">
        <v>0.91514408693978555</v>
      </c>
    </row>
    <row r="384" spans="1:8" x14ac:dyDescent="0.5">
      <c r="A384" s="1">
        <v>43655</v>
      </c>
      <c r="B384">
        <v>673597.1</v>
      </c>
      <c r="C384">
        <v>45400.429999999986</v>
      </c>
      <c r="D384">
        <v>0</v>
      </c>
      <c r="E384">
        <v>718997.52999999991</v>
      </c>
      <c r="F384">
        <v>0</v>
      </c>
      <c r="G384">
        <v>784625.76576451818</v>
      </c>
      <c r="H384">
        <v>0.91635727677057366</v>
      </c>
    </row>
    <row r="385" spans="1:8" x14ac:dyDescent="0.5">
      <c r="A385" s="1">
        <v>43656</v>
      </c>
      <c r="B385">
        <v>674435.6</v>
      </c>
      <c r="C385">
        <v>45400.429999999986</v>
      </c>
      <c r="D385">
        <v>0</v>
      </c>
      <c r="E385">
        <v>719836.02999999991</v>
      </c>
      <c r="F385">
        <v>0</v>
      </c>
      <c r="G385">
        <v>784625.76576451818</v>
      </c>
      <c r="H385">
        <v>0.9174259391018228</v>
      </c>
    </row>
    <row r="386" spans="1:8" x14ac:dyDescent="0.5">
      <c r="A386" s="1">
        <v>43657</v>
      </c>
      <c r="B386">
        <v>672779.5</v>
      </c>
      <c r="C386">
        <v>45400.429999999986</v>
      </c>
      <c r="D386">
        <v>0</v>
      </c>
      <c r="E386">
        <v>718179.92999999993</v>
      </c>
      <c r="F386">
        <v>0</v>
      </c>
      <c r="G386">
        <v>784625.76576451818</v>
      </c>
      <c r="H386">
        <v>0.91531525134179703</v>
      </c>
    </row>
    <row r="387" spans="1:8" x14ac:dyDescent="0.5">
      <c r="A387" s="1">
        <v>43658</v>
      </c>
      <c r="B387">
        <v>675320.8</v>
      </c>
      <c r="C387">
        <v>45400.429999999986</v>
      </c>
      <c r="D387">
        <v>0</v>
      </c>
      <c r="E387">
        <v>720721.23</v>
      </c>
      <c r="F387">
        <v>0</v>
      </c>
      <c r="G387">
        <v>784625.76576451818</v>
      </c>
      <c r="H387">
        <v>0.91855412025342897</v>
      </c>
    </row>
    <row r="388" spans="1:8" x14ac:dyDescent="0.5">
      <c r="A388" s="1">
        <v>43661</v>
      </c>
      <c r="B388">
        <v>685444.60000000009</v>
      </c>
      <c r="C388">
        <v>45400.429999999986</v>
      </c>
      <c r="D388">
        <v>0</v>
      </c>
      <c r="E388">
        <v>730845.03</v>
      </c>
      <c r="F388">
        <v>0</v>
      </c>
      <c r="G388">
        <v>784625.76576451818</v>
      </c>
      <c r="H388">
        <v>0.93145683189218798</v>
      </c>
    </row>
    <row r="389" spans="1:8" x14ac:dyDescent="0.5">
      <c r="A389" s="1">
        <v>43662</v>
      </c>
      <c r="B389">
        <v>685691.70000000007</v>
      </c>
      <c r="C389">
        <v>45400.429999999986</v>
      </c>
      <c r="D389">
        <v>0</v>
      </c>
      <c r="E389">
        <v>731092.13</v>
      </c>
      <c r="F389">
        <v>0</v>
      </c>
      <c r="G389">
        <v>784625.76576451818</v>
      </c>
      <c r="H389">
        <v>0.93177175909797405</v>
      </c>
    </row>
    <row r="390" spans="1:8" x14ac:dyDescent="0.5">
      <c r="A390" s="1">
        <v>43663</v>
      </c>
      <c r="B390">
        <v>448612.4</v>
      </c>
      <c r="C390">
        <v>286578.05</v>
      </c>
      <c r="D390">
        <v>0</v>
      </c>
      <c r="E390">
        <v>735190.45</v>
      </c>
      <c r="F390">
        <v>0</v>
      </c>
      <c r="G390">
        <v>784625.76576451818</v>
      </c>
      <c r="H390">
        <v>0.93699503900901115</v>
      </c>
    </row>
    <row r="391" spans="1:8" x14ac:dyDescent="0.5">
      <c r="A391" s="1">
        <v>43664</v>
      </c>
      <c r="B391">
        <v>441317.89999999997</v>
      </c>
      <c r="C391">
        <v>6578.0499999999884</v>
      </c>
      <c r="D391">
        <v>-280000</v>
      </c>
      <c r="E391">
        <v>447895.94999999995</v>
      </c>
      <c r="F391">
        <v>-298827.62271199946</v>
      </c>
      <c r="G391">
        <v>485798.14305251872</v>
      </c>
      <c r="H391">
        <v>0.92197954316095188</v>
      </c>
    </row>
    <row r="392" spans="1:8" x14ac:dyDescent="0.5">
      <c r="A392" s="1">
        <v>43665</v>
      </c>
      <c r="B392">
        <v>444375.89999999997</v>
      </c>
      <c r="C392">
        <v>6578.0499999999884</v>
      </c>
      <c r="D392">
        <v>0</v>
      </c>
      <c r="E392">
        <v>450953.94999999995</v>
      </c>
      <c r="F392">
        <v>0</v>
      </c>
      <c r="G392">
        <v>485798.14305251872</v>
      </c>
      <c r="H392">
        <v>0.92827433873341947</v>
      </c>
    </row>
    <row r="393" spans="1:8" x14ac:dyDescent="0.5">
      <c r="A393" s="1">
        <v>43668</v>
      </c>
      <c r="B393">
        <v>436737.10000000003</v>
      </c>
      <c r="C393">
        <v>6578.0499999999884</v>
      </c>
      <c r="D393">
        <v>0</v>
      </c>
      <c r="E393">
        <v>443315.15</v>
      </c>
      <c r="F393">
        <v>0</v>
      </c>
      <c r="G393">
        <v>485798.14305251872</v>
      </c>
      <c r="H393">
        <v>0.91255011230471927</v>
      </c>
    </row>
    <row r="394" spans="1:8" x14ac:dyDescent="0.5">
      <c r="A394" s="1">
        <v>43669</v>
      </c>
      <c r="B394">
        <v>445284.9</v>
      </c>
      <c r="C394">
        <v>6578.0499999999884</v>
      </c>
      <c r="D394">
        <v>0</v>
      </c>
      <c r="E394">
        <v>451862.95</v>
      </c>
      <c r="F394">
        <v>0</v>
      </c>
      <c r="G394">
        <v>485798.14305251872</v>
      </c>
      <c r="H394">
        <v>0.93014548627278293</v>
      </c>
    </row>
    <row r="395" spans="1:8" x14ac:dyDescent="0.5">
      <c r="A395" s="1">
        <v>43670</v>
      </c>
      <c r="B395">
        <v>453449.8</v>
      </c>
      <c r="C395">
        <v>6578.0499999999884</v>
      </c>
      <c r="D395">
        <v>0</v>
      </c>
      <c r="E395">
        <v>460027.85</v>
      </c>
      <c r="F395">
        <v>0</v>
      </c>
      <c r="G395">
        <v>485798.14305251872</v>
      </c>
      <c r="H395">
        <v>0.94695267278999717</v>
      </c>
    </row>
    <row r="396" spans="1:8" x14ac:dyDescent="0.5">
      <c r="A396" s="1">
        <v>43671</v>
      </c>
      <c r="B396">
        <v>458248.7</v>
      </c>
      <c r="C396">
        <v>6578.0499999999884</v>
      </c>
      <c r="D396">
        <v>0</v>
      </c>
      <c r="E396">
        <v>464826.75</v>
      </c>
      <c r="F396">
        <v>0</v>
      </c>
      <c r="G396">
        <v>485798.14305251872</v>
      </c>
      <c r="H396">
        <v>0.95683105554758874</v>
      </c>
    </row>
    <row r="397" spans="1:8" x14ac:dyDescent="0.5">
      <c r="A397" s="1">
        <v>43672</v>
      </c>
      <c r="B397">
        <v>460287.9</v>
      </c>
      <c r="C397">
        <v>6578.0499999999884</v>
      </c>
      <c r="D397">
        <v>0</v>
      </c>
      <c r="E397">
        <v>466865.95</v>
      </c>
      <c r="F397">
        <v>0</v>
      </c>
      <c r="G397">
        <v>485798.14305251872</v>
      </c>
      <c r="H397">
        <v>0.9610286837789086</v>
      </c>
    </row>
    <row r="398" spans="1:8" x14ac:dyDescent="0.5">
      <c r="A398" s="1">
        <v>43675</v>
      </c>
      <c r="B398">
        <v>462796</v>
      </c>
      <c r="C398">
        <v>6578.0499999999884</v>
      </c>
      <c r="D398">
        <v>0</v>
      </c>
      <c r="E398">
        <v>469374.05</v>
      </c>
      <c r="F398">
        <v>0</v>
      </c>
      <c r="G398">
        <v>485798.14305251872</v>
      </c>
      <c r="H398">
        <v>0.96619152772112771</v>
      </c>
    </row>
    <row r="399" spans="1:8" x14ac:dyDescent="0.5">
      <c r="A399" s="1">
        <v>43676</v>
      </c>
      <c r="B399">
        <v>461104.3</v>
      </c>
      <c r="C399">
        <v>6578.0499999999884</v>
      </c>
      <c r="D399">
        <v>0</v>
      </c>
      <c r="E399">
        <v>467682.35</v>
      </c>
      <c r="F399">
        <v>0</v>
      </c>
      <c r="G399">
        <v>485798.14305251872</v>
      </c>
      <c r="H399">
        <v>0.96270921716849733</v>
      </c>
    </row>
    <row r="400" spans="1:8" x14ac:dyDescent="0.5">
      <c r="A400" s="1">
        <v>43677</v>
      </c>
      <c r="B400">
        <v>462445.79999999993</v>
      </c>
      <c r="C400">
        <v>6578.0499999999884</v>
      </c>
      <c r="D400">
        <v>0</v>
      </c>
      <c r="E400">
        <v>469023.84999999992</v>
      </c>
      <c r="F400">
        <v>0</v>
      </c>
      <c r="G400">
        <v>485798.14305251872</v>
      </c>
      <c r="H400">
        <v>0.96547065217845973</v>
      </c>
    </row>
    <row r="401" spans="1:8" x14ac:dyDescent="0.5">
      <c r="A401" s="1">
        <v>43678</v>
      </c>
      <c r="B401">
        <v>458562.9</v>
      </c>
      <c r="C401">
        <v>6578.0499999999884</v>
      </c>
      <c r="D401">
        <v>0</v>
      </c>
      <c r="E401">
        <v>465140.95</v>
      </c>
      <c r="F401">
        <v>0</v>
      </c>
      <c r="G401">
        <v>485798.14305251872</v>
      </c>
      <c r="H401">
        <v>0.95747782623721245</v>
      </c>
    </row>
    <row r="402" spans="1:8" x14ac:dyDescent="0.5">
      <c r="A402" s="1">
        <v>43679</v>
      </c>
      <c r="B402">
        <v>451949.60000000009</v>
      </c>
      <c r="C402">
        <v>6578.0499999999884</v>
      </c>
      <c r="D402">
        <v>0</v>
      </c>
      <c r="E402">
        <v>458527.65000000008</v>
      </c>
      <c r="F402">
        <v>0</v>
      </c>
      <c r="G402">
        <v>485798.14305251872</v>
      </c>
      <c r="H402">
        <v>0.9438645588861988</v>
      </c>
    </row>
    <row r="403" spans="1:8" x14ac:dyDescent="0.5">
      <c r="A403" s="1">
        <v>43682</v>
      </c>
      <c r="B403">
        <v>448398.8</v>
      </c>
      <c r="C403">
        <v>6578.0499999999884</v>
      </c>
      <c r="D403">
        <v>0</v>
      </c>
      <c r="E403">
        <v>454976.85</v>
      </c>
      <c r="F403">
        <v>0</v>
      </c>
      <c r="G403">
        <v>485798.14305251872</v>
      </c>
      <c r="H403">
        <v>0.93655535021428293</v>
      </c>
    </row>
    <row r="404" spans="1:8" x14ac:dyDescent="0.5">
      <c r="A404" s="1">
        <v>43683</v>
      </c>
      <c r="B404">
        <v>438000.30000000005</v>
      </c>
      <c r="C404">
        <v>6578.0499999999884</v>
      </c>
      <c r="D404">
        <v>0</v>
      </c>
      <c r="E404">
        <v>444578.35000000003</v>
      </c>
      <c r="F404">
        <v>0</v>
      </c>
      <c r="G404">
        <v>485798.14305251872</v>
      </c>
      <c r="H404">
        <v>0.91515036925931093</v>
      </c>
    </row>
    <row r="405" spans="1:8" x14ac:dyDescent="0.5">
      <c r="A405" s="1">
        <v>43684</v>
      </c>
      <c r="B405">
        <v>430790.7</v>
      </c>
      <c r="C405">
        <v>6578.0499999999884</v>
      </c>
      <c r="D405">
        <v>0</v>
      </c>
      <c r="E405">
        <v>437368.75</v>
      </c>
      <c r="F405">
        <v>0</v>
      </c>
      <c r="G405">
        <v>485798.14305251872</v>
      </c>
      <c r="H405">
        <v>0.90030963735634717</v>
      </c>
    </row>
    <row r="406" spans="1:8" x14ac:dyDescent="0.5">
      <c r="A406" s="1">
        <v>43685</v>
      </c>
      <c r="B406">
        <v>440952.30000000005</v>
      </c>
      <c r="C406">
        <v>6578.0499999999884</v>
      </c>
      <c r="D406">
        <v>0</v>
      </c>
      <c r="E406">
        <v>447530.35000000003</v>
      </c>
      <c r="F406">
        <v>0</v>
      </c>
      <c r="G406">
        <v>485798.14305251872</v>
      </c>
      <c r="H406">
        <v>0.92122696720892649</v>
      </c>
    </row>
    <row r="407" spans="1:8" x14ac:dyDescent="0.5">
      <c r="A407" s="1">
        <v>43686</v>
      </c>
      <c r="B407">
        <v>433951.39999999997</v>
      </c>
      <c r="C407">
        <v>6578.0499999999884</v>
      </c>
      <c r="D407">
        <v>0</v>
      </c>
      <c r="E407">
        <v>440529.44999999995</v>
      </c>
      <c r="F407">
        <v>0</v>
      </c>
      <c r="G407">
        <v>485798.14305251872</v>
      </c>
      <c r="H407">
        <v>0.9068158376068044</v>
      </c>
    </row>
    <row r="408" spans="1:8" x14ac:dyDescent="0.5">
      <c r="A408" s="1">
        <v>43689</v>
      </c>
      <c r="B408">
        <v>445478.60000000003</v>
      </c>
      <c r="C408">
        <v>6578.0499999999884</v>
      </c>
      <c r="D408">
        <v>0</v>
      </c>
      <c r="E408">
        <v>452056.65</v>
      </c>
      <c r="F408">
        <v>0</v>
      </c>
      <c r="G408">
        <v>485798.14305251872</v>
      </c>
      <c r="H408">
        <v>0.930544211551523</v>
      </c>
    </row>
    <row r="409" spans="1:8" x14ac:dyDescent="0.5">
      <c r="A409" s="1">
        <v>43690</v>
      </c>
      <c r="B409">
        <v>442400.89999999997</v>
      </c>
      <c r="C409">
        <v>6675.5499999999884</v>
      </c>
      <c r="D409">
        <v>0</v>
      </c>
      <c r="E409">
        <v>449076.44999999995</v>
      </c>
      <c r="F409">
        <v>0</v>
      </c>
      <c r="G409">
        <v>485798.14305251872</v>
      </c>
      <c r="H409">
        <v>0.92440956480035608</v>
      </c>
    </row>
    <row r="410" spans="1:8" x14ac:dyDescent="0.5">
      <c r="A410" s="1">
        <v>43691</v>
      </c>
      <c r="B410">
        <v>445975.6</v>
      </c>
      <c r="C410">
        <v>6675.5499999999884</v>
      </c>
      <c r="D410">
        <v>0</v>
      </c>
      <c r="E410">
        <v>452651.14999999997</v>
      </c>
      <c r="F410">
        <v>0</v>
      </c>
      <c r="G410">
        <v>485798.14305251872</v>
      </c>
      <c r="H410">
        <v>0.93176797086082053</v>
      </c>
    </row>
    <row r="411" spans="1:8" x14ac:dyDescent="0.5">
      <c r="A411" s="1">
        <v>43692</v>
      </c>
      <c r="B411">
        <v>449352.20000000007</v>
      </c>
      <c r="C411">
        <v>6675.5499999999884</v>
      </c>
      <c r="D411">
        <v>0</v>
      </c>
      <c r="E411">
        <v>456027.75000000006</v>
      </c>
      <c r="F411">
        <v>0</v>
      </c>
      <c r="G411">
        <v>485798.14305251872</v>
      </c>
      <c r="H411">
        <v>0.93871859438272853</v>
      </c>
    </row>
    <row r="412" spans="1:8" x14ac:dyDescent="0.5">
      <c r="A412" s="1">
        <v>43693</v>
      </c>
      <c r="B412">
        <v>450864.89999999997</v>
      </c>
      <c r="C412">
        <v>6675.5499999999884</v>
      </c>
      <c r="D412">
        <v>0</v>
      </c>
      <c r="E412">
        <v>457540.44999999995</v>
      </c>
      <c r="F412">
        <v>0</v>
      </c>
      <c r="G412">
        <v>485798.14305251872</v>
      </c>
      <c r="H412">
        <v>0.9418324391382783</v>
      </c>
    </row>
    <row r="413" spans="1:8" x14ac:dyDescent="0.5">
      <c r="A413" s="1">
        <v>43696</v>
      </c>
      <c r="B413">
        <v>467926.30000000005</v>
      </c>
      <c r="C413">
        <v>6675.5499999999884</v>
      </c>
      <c r="D413">
        <v>0</v>
      </c>
      <c r="E413">
        <v>474601.85000000003</v>
      </c>
      <c r="F413">
        <v>0</v>
      </c>
      <c r="G413">
        <v>485798.14305251872</v>
      </c>
      <c r="H413">
        <v>0.97695278746401415</v>
      </c>
    </row>
    <row r="414" spans="1:8" x14ac:dyDescent="0.5">
      <c r="A414" s="1">
        <v>43697</v>
      </c>
      <c r="B414">
        <v>467613.10000000003</v>
      </c>
      <c r="C414">
        <v>6675.5499999999884</v>
      </c>
      <c r="D414">
        <v>0</v>
      </c>
      <c r="E414">
        <v>474288.65</v>
      </c>
      <c r="F414">
        <v>0</v>
      </c>
      <c r="G414">
        <v>485798.14305251872</v>
      </c>
      <c r="H414">
        <v>0.97630807524253049</v>
      </c>
    </row>
    <row r="415" spans="1:8" x14ac:dyDescent="0.5">
      <c r="A415" s="1">
        <v>43698</v>
      </c>
      <c r="B415">
        <v>469095.4</v>
      </c>
      <c r="C415">
        <v>6675.5499999999884</v>
      </c>
      <c r="D415">
        <v>0</v>
      </c>
      <c r="E415">
        <v>475770.95</v>
      </c>
      <c r="F415">
        <v>0</v>
      </c>
      <c r="G415">
        <v>485798.14305251872</v>
      </c>
      <c r="H415">
        <v>0.97935934256662094</v>
      </c>
    </row>
    <row r="416" spans="1:8" x14ac:dyDescent="0.5">
      <c r="A416" s="1">
        <v>43699</v>
      </c>
      <c r="B416">
        <v>471662.19999999995</v>
      </c>
      <c r="C416">
        <v>46675.549999999988</v>
      </c>
      <c r="D416">
        <v>40000</v>
      </c>
      <c r="E416">
        <v>518337.74999999994</v>
      </c>
      <c r="F416">
        <v>40843.026927349703</v>
      </c>
      <c r="G416">
        <v>526641.16997986846</v>
      </c>
      <c r="H416">
        <v>0.9842332494054995</v>
      </c>
    </row>
    <row r="417" spans="1:8" x14ac:dyDescent="0.5">
      <c r="A417" s="1">
        <v>43700</v>
      </c>
      <c r="B417">
        <v>468730.7</v>
      </c>
      <c r="C417">
        <v>46675.549999999988</v>
      </c>
      <c r="D417">
        <v>0</v>
      </c>
      <c r="E417">
        <v>515406.25</v>
      </c>
      <c r="F417">
        <v>0</v>
      </c>
      <c r="G417">
        <v>526641.16997986846</v>
      </c>
      <c r="H417">
        <v>0.97866684068718379</v>
      </c>
    </row>
    <row r="418" spans="1:8" x14ac:dyDescent="0.5">
      <c r="A418" s="1">
        <v>43703</v>
      </c>
      <c r="B418">
        <v>467366.8</v>
      </c>
      <c r="C418">
        <v>46675.549999999988</v>
      </c>
      <c r="D418">
        <v>0</v>
      </c>
      <c r="E418">
        <v>514042.35</v>
      </c>
      <c r="F418">
        <v>0</v>
      </c>
      <c r="G418">
        <v>526641.16997986846</v>
      </c>
      <c r="H418">
        <v>0.97607703176652505</v>
      </c>
    </row>
    <row r="419" spans="1:8" x14ac:dyDescent="0.5">
      <c r="A419" s="1">
        <v>43704</v>
      </c>
      <c r="B419">
        <v>476926.4</v>
      </c>
      <c r="C419">
        <v>46675.549999999988</v>
      </c>
      <c r="D419">
        <v>0</v>
      </c>
      <c r="E419">
        <v>523601.95</v>
      </c>
      <c r="F419">
        <v>0</v>
      </c>
      <c r="G419">
        <v>526641.16997986846</v>
      </c>
      <c r="H419">
        <v>0.99422904977219195</v>
      </c>
    </row>
    <row r="420" spans="1:8" x14ac:dyDescent="0.5">
      <c r="A420" s="1">
        <v>43705</v>
      </c>
      <c r="B420">
        <v>476272</v>
      </c>
      <c r="C420">
        <v>46675.549999999988</v>
      </c>
      <c r="D420">
        <v>0</v>
      </c>
      <c r="E420">
        <v>522947.55</v>
      </c>
      <c r="F420">
        <v>0</v>
      </c>
      <c r="G420">
        <v>526641.16997986846</v>
      </c>
      <c r="H420">
        <v>0.9929864579709754</v>
      </c>
    </row>
    <row r="421" spans="1:8" x14ac:dyDescent="0.5">
      <c r="A421" s="1">
        <v>43706</v>
      </c>
      <c r="B421">
        <v>459794.5</v>
      </c>
      <c r="C421">
        <v>266689.53999999998</v>
      </c>
      <c r="D421">
        <v>200000</v>
      </c>
      <c r="E421">
        <v>726484.04</v>
      </c>
      <c r="F421">
        <v>201412.61584641461</v>
      </c>
      <c r="G421">
        <v>728053.78582628304</v>
      </c>
      <c r="H421">
        <v>0.9978439150281988</v>
      </c>
    </row>
    <row r="422" spans="1:8" x14ac:dyDescent="0.5">
      <c r="A422" s="1">
        <v>43707</v>
      </c>
      <c r="B422">
        <v>674336.9</v>
      </c>
      <c r="C422">
        <v>56687.229999999981</v>
      </c>
      <c r="D422">
        <v>15.92</v>
      </c>
      <c r="E422">
        <v>731024.13</v>
      </c>
      <c r="F422">
        <v>15.954399040004272</v>
      </c>
      <c r="G422">
        <v>728069.74022532301</v>
      </c>
      <c r="H422">
        <v>1.0040578389836152</v>
      </c>
    </row>
    <row r="423" spans="1:8" x14ac:dyDescent="0.5">
      <c r="A423" s="1">
        <v>43710</v>
      </c>
      <c r="B423">
        <v>694525.8</v>
      </c>
      <c r="C423">
        <v>58524.219999999979</v>
      </c>
      <c r="D423">
        <v>1836.99</v>
      </c>
      <c r="E423">
        <v>753050.02</v>
      </c>
      <c r="F423">
        <v>1829.5659161025453</v>
      </c>
      <c r="G423">
        <v>729899.30614142551</v>
      </c>
      <c r="H423">
        <v>1.0317176816908618</v>
      </c>
    </row>
    <row r="424" spans="1:8" x14ac:dyDescent="0.5">
      <c r="A424" s="1">
        <v>43711</v>
      </c>
      <c r="B424">
        <v>677892.5</v>
      </c>
      <c r="C424">
        <v>80210.709999999977</v>
      </c>
      <c r="D424">
        <v>0</v>
      </c>
      <c r="E424">
        <v>758103.21</v>
      </c>
      <c r="F424">
        <v>0</v>
      </c>
      <c r="G424">
        <v>729899.30614142551</v>
      </c>
      <c r="H424">
        <v>1.038640814727819</v>
      </c>
    </row>
    <row r="425" spans="1:8" x14ac:dyDescent="0.5">
      <c r="A425" s="1">
        <v>43712</v>
      </c>
      <c r="B425">
        <v>683158.7</v>
      </c>
      <c r="C425">
        <v>80210.709999999977</v>
      </c>
      <c r="D425">
        <v>0</v>
      </c>
      <c r="E425">
        <v>763369.40999999992</v>
      </c>
      <c r="F425">
        <v>0</v>
      </c>
      <c r="G425">
        <v>729899.30614142551</v>
      </c>
      <c r="H425">
        <v>1.0458557825400772</v>
      </c>
    </row>
    <row r="426" spans="1:8" x14ac:dyDescent="0.5">
      <c r="A426" s="1">
        <v>43713</v>
      </c>
      <c r="B426">
        <v>523486.9</v>
      </c>
      <c r="C426">
        <v>245018.69</v>
      </c>
      <c r="D426">
        <v>735.52</v>
      </c>
      <c r="E426">
        <v>768505.59000000008</v>
      </c>
      <c r="F426">
        <v>703.27095980063086</v>
      </c>
      <c r="G426">
        <v>730602.57710122608</v>
      </c>
      <c r="H426">
        <v>1.0518791119642088</v>
      </c>
    </row>
    <row r="427" spans="1:8" x14ac:dyDescent="0.5">
      <c r="A427" s="1">
        <v>43714</v>
      </c>
      <c r="B427">
        <v>471208.5</v>
      </c>
      <c r="C427">
        <v>299487.34000000003</v>
      </c>
      <c r="D427">
        <v>0</v>
      </c>
      <c r="E427">
        <v>770695.84000000008</v>
      </c>
      <c r="F427">
        <v>0</v>
      </c>
      <c r="G427">
        <v>730602.57710122608</v>
      </c>
      <c r="H427">
        <v>1.0548769798456639</v>
      </c>
    </row>
    <row r="428" spans="1:8" x14ac:dyDescent="0.5">
      <c r="A428" s="1">
        <v>43717</v>
      </c>
      <c r="B428">
        <v>479860.89999999997</v>
      </c>
      <c r="C428">
        <v>299487.34000000003</v>
      </c>
      <c r="D428">
        <v>0</v>
      </c>
      <c r="E428">
        <v>779348.24</v>
      </c>
      <c r="F428">
        <v>0</v>
      </c>
      <c r="G428">
        <v>730602.57710122608</v>
      </c>
      <c r="H428">
        <v>1.0667198069464516</v>
      </c>
    </row>
    <row r="429" spans="1:8" x14ac:dyDescent="0.5">
      <c r="A429" s="1">
        <v>43718</v>
      </c>
      <c r="B429">
        <v>418847</v>
      </c>
      <c r="C429">
        <v>356491.23000000004</v>
      </c>
      <c r="D429">
        <v>0</v>
      </c>
      <c r="E429">
        <v>775338.23</v>
      </c>
      <c r="F429">
        <v>0</v>
      </c>
      <c r="G429">
        <v>730602.57710122608</v>
      </c>
      <c r="H429">
        <v>1.0612311731451445</v>
      </c>
    </row>
    <row r="430" spans="1:8" x14ac:dyDescent="0.5">
      <c r="A430" s="1">
        <v>43719</v>
      </c>
      <c r="B430">
        <v>112323.70000000001</v>
      </c>
      <c r="C430">
        <v>675489.17</v>
      </c>
      <c r="D430">
        <v>15567.3</v>
      </c>
      <c r="E430">
        <v>787812.87000000011</v>
      </c>
      <c r="F430">
        <v>14669.094155860103</v>
      </c>
      <c r="G430">
        <v>745271.67125708621</v>
      </c>
      <c r="H430">
        <v>1.0570814648987765</v>
      </c>
    </row>
    <row r="431" spans="1:8" x14ac:dyDescent="0.5">
      <c r="A431" s="1">
        <v>43720</v>
      </c>
      <c r="B431">
        <v>112969.4</v>
      </c>
      <c r="C431">
        <v>675489.17</v>
      </c>
      <c r="D431">
        <v>0</v>
      </c>
      <c r="E431">
        <v>788458.57000000007</v>
      </c>
      <c r="F431">
        <v>0</v>
      </c>
      <c r="G431">
        <v>745271.67125708621</v>
      </c>
      <c r="H431">
        <v>1.0579478603689154</v>
      </c>
    </row>
    <row r="432" spans="1:8" x14ac:dyDescent="0.5">
      <c r="A432" s="1">
        <v>43724</v>
      </c>
      <c r="B432">
        <v>112772.2</v>
      </c>
      <c r="C432">
        <v>675489.17</v>
      </c>
      <c r="D432">
        <v>0</v>
      </c>
      <c r="E432">
        <v>788261.37</v>
      </c>
      <c r="F432">
        <v>0</v>
      </c>
      <c r="G432">
        <v>745271.67125708621</v>
      </c>
      <c r="H432">
        <v>1.0576832588717628</v>
      </c>
    </row>
    <row r="433" spans="1:8" x14ac:dyDescent="0.5">
      <c r="A433" s="1">
        <v>43725</v>
      </c>
      <c r="B433">
        <v>109704.5</v>
      </c>
      <c r="C433">
        <v>675489.17</v>
      </c>
      <c r="D433">
        <v>0</v>
      </c>
      <c r="E433">
        <v>785193.67</v>
      </c>
      <c r="F433">
        <v>0</v>
      </c>
      <c r="G433">
        <v>745271.67125708621</v>
      </c>
      <c r="H433">
        <v>1.0535670417682392</v>
      </c>
    </row>
    <row r="434" spans="1:8" x14ac:dyDescent="0.5">
      <c r="A434" s="1">
        <v>43726</v>
      </c>
      <c r="B434">
        <v>109469.4</v>
      </c>
      <c r="C434">
        <v>675489.17</v>
      </c>
      <c r="D434">
        <v>0</v>
      </c>
      <c r="E434">
        <v>784958.57000000007</v>
      </c>
      <c r="F434">
        <v>0</v>
      </c>
      <c r="G434">
        <v>745271.67125708621</v>
      </c>
      <c r="H434">
        <v>1.0532515863322325</v>
      </c>
    </row>
    <row r="435" spans="1:8" x14ac:dyDescent="0.5">
      <c r="A435" s="1">
        <v>43727</v>
      </c>
      <c r="B435">
        <v>181370.5</v>
      </c>
      <c r="C435">
        <v>605870.09000000008</v>
      </c>
      <c r="D435">
        <v>0</v>
      </c>
      <c r="E435">
        <v>787240.59000000008</v>
      </c>
      <c r="F435">
        <v>0</v>
      </c>
      <c r="G435">
        <v>745271.67125708621</v>
      </c>
      <c r="H435">
        <v>1.0563135838400013</v>
      </c>
    </row>
    <row r="436" spans="1:8" x14ac:dyDescent="0.5">
      <c r="A436" s="1">
        <v>43728</v>
      </c>
      <c r="B436">
        <v>183225.8</v>
      </c>
      <c r="C436">
        <v>605885.78</v>
      </c>
      <c r="D436">
        <v>0</v>
      </c>
      <c r="E436">
        <v>789111.58000000007</v>
      </c>
      <c r="F436">
        <v>0</v>
      </c>
      <c r="G436">
        <v>745271.67125708621</v>
      </c>
      <c r="H436">
        <v>1.0588240643428282</v>
      </c>
    </row>
    <row r="437" spans="1:8" x14ac:dyDescent="0.5">
      <c r="A437" s="1">
        <v>43731</v>
      </c>
      <c r="B437">
        <v>185847</v>
      </c>
      <c r="C437">
        <v>605885.78</v>
      </c>
      <c r="D437">
        <v>0</v>
      </c>
      <c r="E437">
        <v>791732.78</v>
      </c>
      <c r="F437">
        <v>0</v>
      </c>
      <c r="G437">
        <v>745271.67125708621</v>
      </c>
      <c r="H437">
        <v>1.0623411710585291</v>
      </c>
    </row>
    <row r="438" spans="1:8" x14ac:dyDescent="0.5">
      <c r="A438" s="1">
        <v>43732</v>
      </c>
      <c r="B438">
        <v>185884.90000000002</v>
      </c>
      <c r="C438">
        <v>605885.78</v>
      </c>
      <c r="D438">
        <v>0</v>
      </c>
      <c r="E438">
        <v>791770.68</v>
      </c>
      <c r="F438">
        <v>0</v>
      </c>
      <c r="G438">
        <v>745271.67125708621</v>
      </c>
      <c r="H438">
        <v>1.0623920249973835</v>
      </c>
    </row>
    <row r="439" spans="1:8" x14ac:dyDescent="0.5">
      <c r="A439" s="1">
        <v>43733</v>
      </c>
      <c r="B439">
        <v>179406.5</v>
      </c>
      <c r="C439">
        <v>605885.78</v>
      </c>
      <c r="D439">
        <v>0</v>
      </c>
      <c r="E439">
        <v>785292.28</v>
      </c>
      <c r="F439">
        <v>0</v>
      </c>
      <c r="G439">
        <v>745271.67125708621</v>
      </c>
      <c r="H439">
        <v>1.0536993559347414</v>
      </c>
    </row>
    <row r="440" spans="1:8" x14ac:dyDescent="0.5">
      <c r="A440" s="1">
        <v>43734</v>
      </c>
      <c r="B440">
        <v>29302.5</v>
      </c>
      <c r="C440">
        <v>750017.63</v>
      </c>
      <c r="D440">
        <v>0</v>
      </c>
      <c r="E440">
        <v>779320.13</v>
      </c>
      <c r="F440">
        <v>0</v>
      </c>
      <c r="G440">
        <v>745271.67125708621</v>
      </c>
      <c r="H440">
        <v>1.0456859693666909</v>
      </c>
    </row>
    <row r="441" spans="1:8" x14ac:dyDescent="0.5">
      <c r="A441" s="1">
        <v>43735</v>
      </c>
      <c r="B441">
        <v>29370.000000000004</v>
      </c>
      <c r="C441">
        <v>750017.63</v>
      </c>
      <c r="D441">
        <v>0</v>
      </c>
      <c r="E441">
        <v>779387.63</v>
      </c>
      <c r="F441">
        <v>0</v>
      </c>
      <c r="G441">
        <v>745271.67125708621</v>
      </c>
      <c r="H441">
        <v>1.0457765403659698</v>
      </c>
    </row>
    <row r="442" spans="1:8" x14ac:dyDescent="0.5">
      <c r="A442" s="1">
        <v>43738</v>
      </c>
      <c r="B442">
        <v>29017.5</v>
      </c>
      <c r="C442">
        <v>750017.63</v>
      </c>
      <c r="D442">
        <v>0</v>
      </c>
      <c r="E442">
        <v>779035.13</v>
      </c>
      <c r="F442">
        <v>0</v>
      </c>
      <c r="G442">
        <v>745271.67125708621</v>
      </c>
      <c r="H442">
        <v>1.0453035584808468</v>
      </c>
    </row>
    <row r="443" spans="1:8" x14ac:dyDescent="0.5">
      <c r="A443" s="1">
        <v>43746</v>
      </c>
      <c r="B443">
        <v>29204.999999999996</v>
      </c>
      <c r="C443">
        <v>750017.63</v>
      </c>
      <c r="D443">
        <v>0</v>
      </c>
      <c r="E443">
        <v>779222.63</v>
      </c>
      <c r="F443">
        <v>0</v>
      </c>
      <c r="G443">
        <v>745271.67125708621</v>
      </c>
      <c r="H443">
        <v>1.0455551445899547</v>
      </c>
    </row>
    <row r="444" spans="1:8" x14ac:dyDescent="0.5">
      <c r="A444" s="1">
        <v>43747</v>
      </c>
      <c r="B444">
        <v>29287.5</v>
      </c>
      <c r="C444">
        <v>750017.63</v>
      </c>
      <c r="D444">
        <v>0</v>
      </c>
      <c r="E444">
        <v>779305.13</v>
      </c>
      <c r="F444">
        <v>0</v>
      </c>
      <c r="G444">
        <v>745271.67125708621</v>
      </c>
      <c r="H444">
        <v>1.0456658424779623</v>
      </c>
    </row>
    <row r="445" spans="1:8" x14ac:dyDescent="0.5">
      <c r="A445" s="1">
        <v>43748</v>
      </c>
      <c r="B445">
        <v>29497.500000000004</v>
      </c>
      <c r="C445">
        <v>750017.63</v>
      </c>
      <c r="D445">
        <v>0</v>
      </c>
      <c r="E445">
        <v>779515.13</v>
      </c>
      <c r="F445">
        <v>0</v>
      </c>
      <c r="G445">
        <v>745271.67125708621</v>
      </c>
      <c r="H445">
        <v>1.0459476189201633</v>
      </c>
    </row>
    <row r="446" spans="1:8" x14ac:dyDescent="0.5">
      <c r="A446" s="1">
        <v>43749</v>
      </c>
      <c r="B446">
        <v>29857.500000000004</v>
      </c>
      <c r="C446">
        <v>750017.63</v>
      </c>
      <c r="D446">
        <v>0</v>
      </c>
      <c r="E446">
        <v>779875.13</v>
      </c>
      <c r="F446">
        <v>0</v>
      </c>
      <c r="G446">
        <v>745271.67125708621</v>
      </c>
      <c r="H446">
        <v>1.0464306642496506</v>
      </c>
    </row>
    <row r="447" spans="1:8" x14ac:dyDescent="0.5">
      <c r="A447" s="1">
        <v>43752</v>
      </c>
      <c r="B447">
        <v>148225</v>
      </c>
      <c r="C447">
        <v>630831.88</v>
      </c>
      <c r="D447">
        <v>0</v>
      </c>
      <c r="E447">
        <v>779056.88</v>
      </c>
      <c r="F447">
        <v>0</v>
      </c>
      <c r="G447">
        <v>745271.67125708621</v>
      </c>
      <c r="H447">
        <v>1.0453327424695034</v>
      </c>
    </row>
    <row r="448" spans="1:8" x14ac:dyDescent="0.5">
      <c r="A448" s="1">
        <v>43753</v>
      </c>
      <c r="B448">
        <v>147317.5</v>
      </c>
      <c r="C448">
        <v>530831.88</v>
      </c>
      <c r="D448">
        <v>-100000</v>
      </c>
      <c r="E448">
        <v>678149.38</v>
      </c>
      <c r="F448">
        <v>-95663.319378822009</v>
      </c>
      <c r="G448">
        <v>649608.35187826422</v>
      </c>
      <c r="H448">
        <v>1.0439357468838153</v>
      </c>
    </row>
    <row r="449" spans="1:8" x14ac:dyDescent="0.5">
      <c r="A449" s="1">
        <v>43754</v>
      </c>
      <c r="B449">
        <v>207492.5</v>
      </c>
      <c r="C449">
        <v>470613.82</v>
      </c>
      <c r="D449">
        <v>0</v>
      </c>
      <c r="E449">
        <v>678106.32000000007</v>
      </c>
      <c r="F449">
        <v>0</v>
      </c>
      <c r="G449">
        <v>649608.35187826422</v>
      </c>
      <c r="H449">
        <v>1.0438694607902399</v>
      </c>
    </row>
    <row r="450" spans="1:8" x14ac:dyDescent="0.5">
      <c r="A450" s="1">
        <v>43755</v>
      </c>
      <c r="B450">
        <v>232717.5</v>
      </c>
      <c r="C450">
        <v>445186.19</v>
      </c>
      <c r="D450">
        <v>0</v>
      </c>
      <c r="E450">
        <v>677903.69</v>
      </c>
      <c r="F450">
        <v>0</v>
      </c>
      <c r="G450">
        <v>649608.35187826422</v>
      </c>
      <c r="H450">
        <v>1.0435575343819443</v>
      </c>
    </row>
    <row r="451" spans="1:8" x14ac:dyDescent="0.5">
      <c r="A451" s="1">
        <v>43756</v>
      </c>
      <c r="B451">
        <v>230502.5</v>
      </c>
      <c r="C451">
        <v>445186.19</v>
      </c>
      <c r="D451">
        <v>0</v>
      </c>
      <c r="E451">
        <v>675688.69</v>
      </c>
      <c r="F451">
        <v>0</v>
      </c>
      <c r="G451">
        <v>649608.35187826422</v>
      </c>
      <c r="H451">
        <v>1.040147787580513</v>
      </c>
    </row>
    <row r="452" spans="1:8" x14ac:dyDescent="0.5">
      <c r="A452" s="1">
        <v>43759</v>
      </c>
      <c r="B452">
        <v>227870</v>
      </c>
      <c r="C452">
        <v>445186.19</v>
      </c>
      <c r="D452">
        <v>0</v>
      </c>
      <c r="E452">
        <v>673056.19</v>
      </c>
      <c r="F452">
        <v>0</v>
      </c>
      <c r="G452">
        <v>649608.35187826422</v>
      </c>
      <c r="H452">
        <v>1.0360953458402113</v>
      </c>
    </row>
    <row r="453" spans="1:8" x14ac:dyDescent="0.5">
      <c r="A453" s="1">
        <v>43760</v>
      </c>
      <c r="B453">
        <v>231262.5</v>
      </c>
      <c r="C453">
        <v>445186.19</v>
      </c>
      <c r="D453">
        <v>0</v>
      </c>
      <c r="E453">
        <v>676448.69</v>
      </c>
      <c r="F453">
        <v>0</v>
      </c>
      <c r="G453">
        <v>649608.35187826422</v>
      </c>
      <c r="H453">
        <v>1.0413177232776181</v>
      </c>
    </row>
    <row r="454" spans="1:8" x14ac:dyDescent="0.5">
      <c r="A454" s="1">
        <v>43761</v>
      </c>
      <c r="B454">
        <v>227345</v>
      </c>
      <c r="C454">
        <v>445186.19</v>
      </c>
      <c r="D454">
        <v>0</v>
      </c>
      <c r="E454">
        <v>672531.19</v>
      </c>
      <c r="F454">
        <v>0</v>
      </c>
      <c r="G454">
        <v>649608.35187826422</v>
      </c>
      <c r="H454">
        <v>1.0352871665757639</v>
      </c>
    </row>
    <row r="455" spans="1:8" x14ac:dyDescent="0.5">
      <c r="A455" s="1">
        <v>43762</v>
      </c>
      <c r="B455">
        <v>313232.5</v>
      </c>
      <c r="C455">
        <v>358890.3</v>
      </c>
      <c r="D455">
        <v>0</v>
      </c>
      <c r="E455">
        <v>672122.8</v>
      </c>
      <c r="F455">
        <v>0</v>
      </c>
      <c r="G455">
        <v>649608.35187826422</v>
      </c>
      <c r="H455">
        <v>1.0346584954713682</v>
      </c>
    </row>
    <row r="456" spans="1:8" x14ac:dyDescent="0.5">
      <c r="A456" s="1">
        <v>43763</v>
      </c>
      <c r="B456">
        <v>315902.5</v>
      </c>
      <c r="C456">
        <v>358890.3</v>
      </c>
      <c r="D456">
        <v>0</v>
      </c>
      <c r="E456">
        <v>674792.8</v>
      </c>
      <c r="F456">
        <v>0</v>
      </c>
      <c r="G456">
        <v>649608.35187826422</v>
      </c>
      <c r="H456">
        <v>1.0387686643019876</v>
      </c>
    </row>
    <row r="457" spans="1:8" x14ac:dyDescent="0.5">
      <c r="A457" s="1">
        <v>43766</v>
      </c>
      <c r="B457">
        <v>446355</v>
      </c>
      <c r="C457">
        <v>233902.81</v>
      </c>
      <c r="D457">
        <v>0</v>
      </c>
      <c r="E457">
        <v>680257.81</v>
      </c>
      <c r="F457">
        <v>0</v>
      </c>
      <c r="G457">
        <v>649608.35187826422</v>
      </c>
      <c r="H457">
        <v>1.0471814409915092</v>
      </c>
    </row>
    <row r="458" spans="1:8" x14ac:dyDescent="0.5">
      <c r="A458" s="1">
        <v>43767</v>
      </c>
      <c r="B458">
        <v>441037.5</v>
      </c>
      <c r="C458">
        <v>233902.81</v>
      </c>
      <c r="D458">
        <v>0</v>
      </c>
      <c r="E458">
        <v>674940.31</v>
      </c>
      <c r="F458">
        <v>0</v>
      </c>
      <c r="G458">
        <v>649608.35187826422</v>
      </c>
      <c r="H458">
        <v>1.0389957395844611</v>
      </c>
    </row>
    <row r="459" spans="1:8" x14ac:dyDescent="0.5">
      <c r="A459" s="1">
        <v>43768</v>
      </c>
      <c r="B459">
        <v>439042.5</v>
      </c>
      <c r="C459">
        <v>303902.81</v>
      </c>
      <c r="D459">
        <v>70000</v>
      </c>
      <c r="E459">
        <v>742945.31</v>
      </c>
      <c r="F459">
        <v>67372.749793946219</v>
      </c>
      <c r="G459">
        <v>716981.1016722105</v>
      </c>
      <c r="H459">
        <v>1.0362132394664705</v>
      </c>
    </row>
    <row r="460" spans="1:8" x14ac:dyDescent="0.5">
      <c r="A460" s="1">
        <v>43769</v>
      </c>
      <c r="B460">
        <v>441667.5</v>
      </c>
      <c r="C460">
        <v>303902.81</v>
      </c>
      <c r="D460">
        <v>0</v>
      </c>
      <c r="E460">
        <v>745570.31</v>
      </c>
      <c r="F460">
        <v>0</v>
      </c>
      <c r="G460">
        <v>716981.1016722105</v>
      </c>
      <c r="H460">
        <v>1.0398744238322477</v>
      </c>
    </row>
    <row r="461" spans="1:8" x14ac:dyDescent="0.5">
      <c r="A461" s="1">
        <v>43770</v>
      </c>
      <c r="B461">
        <v>446935</v>
      </c>
      <c r="C461">
        <v>303902.81</v>
      </c>
      <c r="D461">
        <v>0</v>
      </c>
      <c r="E461">
        <v>750837.81</v>
      </c>
      <c r="F461">
        <v>0</v>
      </c>
      <c r="G461">
        <v>716981.1016722105</v>
      </c>
      <c r="H461">
        <v>1.0472212004595738</v>
      </c>
    </row>
    <row r="462" spans="1:8" x14ac:dyDescent="0.5">
      <c r="A462" s="1">
        <v>43773</v>
      </c>
      <c r="B462">
        <v>451442.49999999994</v>
      </c>
      <c r="C462">
        <v>283902.81</v>
      </c>
      <c r="D462">
        <v>-20000</v>
      </c>
      <c r="E462">
        <v>735345.30999999994</v>
      </c>
      <c r="F462">
        <v>-19098.161869930616</v>
      </c>
      <c r="G462">
        <v>697882.93980227993</v>
      </c>
      <c r="H462">
        <v>1.0536800200451004</v>
      </c>
    </row>
    <row r="463" spans="1:8" x14ac:dyDescent="0.5">
      <c r="A463" s="1">
        <v>43774</v>
      </c>
      <c r="B463">
        <v>454245</v>
      </c>
      <c r="C463">
        <v>283902.81</v>
      </c>
      <c r="D463">
        <v>0</v>
      </c>
      <c r="E463">
        <v>738147.81</v>
      </c>
      <c r="F463">
        <v>0</v>
      </c>
      <c r="G463">
        <v>697882.93980227993</v>
      </c>
      <c r="H463">
        <v>1.0576957364928963</v>
      </c>
    </row>
    <row r="464" spans="1:8" x14ac:dyDescent="0.5">
      <c r="A464" s="1">
        <v>43775</v>
      </c>
      <c r="B464">
        <v>448847.5</v>
      </c>
      <c r="C464">
        <v>283902.81</v>
      </c>
      <c r="D464">
        <v>0</v>
      </c>
      <c r="E464">
        <v>732750.31</v>
      </c>
      <c r="F464">
        <v>0</v>
      </c>
      <c r="G464">
        <v>697882.93980227993</v>
      </c>
      <c r="H464">
        <v>1.0499616313985245</v>
      </c>
    </row>
    <row r="465" spans="1:8" x14ac:dyDescent="0.5">
      <c r="A465" s="1">
        <v>43776</v>
      </c>
      <c r="B465">
        <v>451865</v>
      </c>
      <c r="C465">
        <v>283902.81</v>
      </c>
      <c r="D465">
        <v>0</v>
      </c>
      <c r="E465">
        <v>735767.81</v>
      </c>
      <c r="F465">
        <v>0</v>
      </c>
      <c r="G465">
        <v>697882.93980227993</v>
      </c>
      <c r="H465">
        <v>1.0542854224355354</v>
      </c>
    </row>
    <row r="466" spans="1:8" x14ac:dyDescent="0.5">
      <c r="A466" s="1">
        <v>43777</v>
      </c>
      <c r="B466">
        <v>449455</v>
      </c>
      <c r="C466">
        <v>283902.81</v>
      </c>
      <c r="D466">
        <v>0</v>
      </c>
      <c r="E466">
        <v>733357.81</v>
      </c>
      <c r="F466">
        <v>0</v>
      </c>
      <c r="G466">
        <v>697882.93980227993</v>
      </c>
      <c r="H466">
        <v>1.0508321212261911</v>
      </c>
    </row>
    <row r="467" spans="1:8" x14ac:dyDescent="0.5">
      <c r="A467" s="1">
        <v>43780</v>
      </c>
      <c r="B467">
        <v>439842.5</v>
      </c>
      <c r="C467">
        <v>283902.81</v>
      </c>
      <c r="D467">
        <v>0</v>
      </c>
      <c r="E467">
        <v>723745.31</v>
      </c>
      <c r="F467">
        <v>0</v>
      </c>
      <c r="G467">
        <v>697882.93980227993</v>
      </c>
      <c r="H467">
        <v>1.0370583212781319</v>
      </c>
    </row>
    <row r="468" spans="1:8" x14ac:dyDescent="0.5">
      <c r="A468" s="1">
        <v>43781</v>
      </c>
      <c r="B468">
        <v>440225</v>
      </c>
      <c r="C468">
        <v>283902.81</v>
      </c>
      <c r="D468">
        <v>0</v>
      </c>
      <c r="E468">
        <v>724127.81</v>
      </c>
      <c r="F468">
        <v>0</v>
      </c>
      <c r="G468">
        <v>697882.93980227993</v>
      </c>
      <c r="H468">
        <v>1.0376064074659221</v>
      </c>
    </row>
    <row r="469" spans="1:8" x14ac:dyDescent="0.5">
      <c r="A469" s="1">
        <v>43782</v>
      </c>
      <c r="B469">
        <v>445392.5</v>
      </c>
      <c r="C469">
        <v>283902.81</v>
      </c>
      <c r="D469">
        <v>0</v>
      </c>
      <c r="E469">
        <v>729295.31</v>
      </c>
      <c r="F469">
        <v>0</v>
      </c>
      <c r="G469">
        <v>697882.93980227993</v>
      </c>
      <c r="H469">
        <v>1.0450109443950868</v>
      </c>
    </row>
    <row r="470" spans="1:8" x14ac:dyDescent="0.5">
      <c r="A470" s="1">
        <v>43783</v>
      </c>
      <c r="B470">
        <v>410040</v>
      </c>
      <c r="C470">
        <v>324570.61</v>
      </c>
      <c r="D470">
        <v>0</v>
      </c>
      <c r="E470">
        <v>734610.61</v>
      </c>
      <c r="F470">
        <v>0</v>
      </c>
      <c r="G470">
        <v>697882.93980227993</v>
      </c>
      <c r="H470">
        <v>1.0526272646930237</v>
      </c>
    </row>
    <row r="471" spans="1:8" x14ac:dyDescent="0.5">
      <c r="A471" s="1">
        <v>43784</v>
      </c>
      <c r="B471">
        <v>407972.5</v>
      </c>
      <c r="C471">
        <v>324570.61</v>
      </c>
      <c r="D471">
        <v>0</v>
      </c>
      <c r="E471">
        <v>732543.11</v>
      </c>
      <c r="F471">
        <v>0</v>
      </c>
      <c r="G471">
        <v>697882.93980227993</v>
      </c>
      <c r="H471">
        <v>1.0496647334688247</v>
      </c>
    </row>
    <row r="472" spans="1:8" x14ac:dyDescent="0.5">
      <c r="A472" s="1">
        <v>43787</v>
      </c>
      <c r="B472">
        <v>408537.5</v>
      </c>
      <c r="C472">
        <v>404570.61</v>
      </c>
      <c r="D472">
        <v>80000</v>
      </c>
      <c r="E472">
        <v>813108.11</v>
      </c>
      <c r="F472">
        <v>76214.811690990304</v>
      </c>
      <c r="G472">
        <v>774097.75149327028</v>
      </c>
      <c r="H472">
        <v>1.0503946154493757</v>
      </c>
    </row>
    <row r="473" spans="1:8" x14ac:dyDescent="0.5">
      <c r="A473" s="1">
        <v>43788</v>
      </c>
      <c r="B473">
        <v>415752.5</v>
      </c>
      <c r="C473">
        <v>404570.61</v>
      </c>
      <c r="D473">
        <v>0</v>
      </c>
      <c r="E473">
        <v>820323.11</v>
      </c>
      <c r="F473">
        <v>0</v>
      </c>
      <c r="G473">
        <v>774097.75149327028</v>
      </c>
      <c r="H473">
        <v>1.0597151437496866</v>
      </c>
    </row>
    <row r="474" spans="1:8" x14ac:dyDescent="0.5">
      <c r="A474" s="1">
        <v>43789</v>
      </c>
      <c r="B474">
        <v>412955</v>
      </c>
      <c r="C474">
        <v>404570.61</v>
      </c>
      <c r="D474">
        <v>0</v>
      </c>
      <c r="E474">
        <v>817525.61</v>
      </c>
      <c r="F474">
        <v>0</v>
      </c>
      <c r="G474">
        <v>774097.75149327028</v>
      </c>
      <c r="H474">
        <v>1.0561012590760732</v>
      </c>
    </row>
    <row r="475" spans="1:8" x14ac:dyDescent="0.5">
      <c r="A475" s="1">
        <v>43790</v>
      </c>
      <c r="B475">
        <v>411465</v>
      </c>
      <c r="C475">
        <v>404570.61</v>
      </c>
      <c r="D475">
        <v>0</v>
      </c>
      <c r="E475">
        <v>816035.61</v>
      </c>
      <c r="F475">
        <v>0</v>
      </c>
      <c r="G475">
        <v>774097.75149327028</v>
      </c>
      <c r="H475">
        <v>1.0541764375698413</v>
      </c>
    </row>
    <row r="476" spans="1:8" x14ac:dyDescent="0.5">
      <c r="A476" s="1">
        <v>43791</v>
      </c>
      <c r="B476">
        <v>398195</v>
      </c>
      <c r="C476">
        <v>404570.61</v>
      </c>
      <c r="D476">
        <v>0</v>
      </c>
      <c r="E476">
        <v>802765.61</v>
      </c>
      <c r="F476">
        <v>0</v>
      </c>
      <c r="G476">
        <v>774097.75149327028</v>
      </c>
      <c r="H476">
        <v>1.0370338997257493</v>
      </c>
    </row>
    <row r="477" spans="1:8" x14ac:dyDescent="0.5">
      <c r="A477" s="1">
        <v>43794</v>
      </c>
      <c r="B477">
        <v>391395</v>
      </c>
      <c r="C477">
        <v>404570.61</v>
      </c>
      <c r="D477">
        <v>0</v>
      </c>
      <c r="E477">
        <v>795965.61</v>
      </c>
      <c r="F477">
        <v>0</v>
      </c>
      <c r="G477">
        <v>774097.75149327028</v>
      </c>
      <c r="H477">
        <v>1.0282494794288519</v>
      </c>
    </row>
    <row r="478" spans="1:8" x14ac:dyDescent="0.5">
      <c r="A478" s="1">
        <v>43795</v>
      </c>
      <c r="B478">
        <v>390760</v>
      </c>
      <c r="C478">
        <v>404570.61</v>
      </c>
      <c r="D478">
        <v>0</v>
      </c>
      <c r="E478">
        <v>795330.61</v>
      </c>
      <c r="F478">
        <v>0</v>
      </c>
      <c r="G478">
        <v>774097.75149327028</v>
      </c>
      <c r="H478">
        <v>1.0274291695923035</v>
      </c>
    </row>
    <row r="479" spans="1:8" x14ac:dyDescent="0.5">
      <c r="A479" s="1">
        <v>43796</v>
      </c>
      <c r="B479">
        <v>394985</v>
      </c>
      <c r="C479">
        <v>404570.61</v>
      </c>
      <c r="D479">
        <v>0</v>
      </c>
      <c r="E479">
        <v>799555.61</v>
      </c>
      <c r="F479">
        <v>0</v>
      </c>
      <c r="G479">
        <v>774097.75149327028</v>
      </c>
      <c r="H479">
        <v>1.0328871366150081</v>
      </c>
    </row>
    <row r="480" spans="1:8" x14ac:dyDescent="0.5">
      <c r="A480" s="1">
        <v>43797</v>
      </c>
      <c r="B480">
        <v>395450</v>
      </c>
      <c r="C480">
        <v>404570.61</v>
      </c>
      <c r="D480">
        <v>0</v>
      </c>
      <c r="E480">
        <v>800020.61</v>
      </c>
      <c r="F480">
        <v>0</v>
      </c>
      <c r="G480">
        <v>774097.75149327028</v>
      </c>
      <c r="H480">
        <v>1.0334878359441342</v>
      </c>
    </row>
    <row r="481" spans="1:8" x14ac:dyDescent="0.5">
      <c r="A481" s="1">
        <v>43798</v>
      </c>
      <c r="B481">
        <v>390742.5</v>
      </c>
      <c r="C481">
        <v>404570.61</v>
      </c>
      <c r="D481">
        <v>0</v>
      </c>
      <c r="E481">
        <v>795313.11</v>
      </c>
      <c r="F481">
        <v>0</v>
      </c>
      <c r="G481">
        <v>774097.75149327028</v>
      </c>
      <c r="H481">
        <v>1.0274065626283042</v>
      </c>
    </row>
    <row r="482" spans="1:8" x14ac:dyDescent="0.5">
      <c r="A482" s="1">
        <v>43801</v>
      </c>
      <c r="B482">
        <v>389862.5</v>
      </c>
      <c r="C482">
        <v>404570.61</v>
      </c>
      <c r="D482">
        <v>0</v>
      </c>
      <c r="E482">
        <v>794433.11</v>
      </c>
      <c r="F482">
        <v>0</v>
      </c>
      <c r="G482">
        <v>774097.75149327028</v>
      </c>
      <c r="H482">
        <v>1.0262697552957645</v>
      </c>
    </row>
    <row r="483" spans="1:8" x14ac:dyDescent="0.5">
      <c r="A483" s="1">
        <v>43802</v>
      </c>
      <c r="B483">
        <v>422042.5</v>
      </c>
      <c r="C483">
        <v>378396.24</v>
      </c>
      <c r="D483">
        <v>0</v>
      </c>
      <c r="E483">
        <v>800438.74</v>
      </c>
      <c r="F483">
        <v>0</v>
      </c>
      <c r="G483">
        <v>774097.75149327028</v>
      </c>
      <c r="H483">
        <v>1.0340279873645373</v>
      </c>
    </row>
    <row r="484" spans="1:8" x14ac:dyDescent="0.5">
      <c r="A484" s="1">
        <v>43803</v>
      </c>
      <c r="B484">
        <v>537012.5</v>
      </c>
      <c r="C484">
        <v>265402.34999999998</v>
      </c>
      <c r="D484">
        <v>0</v>
      </c>
      <c r="E484">
        <v>802414.85</v>
      </c>
      <c r="F484">
        <v>0</v>
      </c>
      <c r="G484">
        <v>774097.75149327028</v>
      </c>
      <c r="H484">
        <v>1.0365807786576111</v>
      </c>
    </row>
    <row r="485" spans="1:8" x14ac:dyDescent="0.5">
      <c r="A485" s="1">
        <v>43804</v>
      </c>
      <c r="B485">
        <v>545610</v>
      </c>
      <c r="C485">
        <v>265402.34999999998</v>
      </c>
      <c r="D485">
        <v>0</v>
      </c>
      <c r="E485">
        <v>811012.35</v>
      </c>
      <c r="F485">
        <v>0</v>
      </c>
      <c r="G485">
        <v>774097.75149327028</v>
      </c>
      <c r="H485">
        <v>1.047687257113872</v>
      </c>
    </row>
    <row r="486" spans="1:8" x14ac:dyDescent="0.5">
      <c r="A486" s="1">
        <v>43805</v>
      </c>
      <c r="B486">
        <v>555165</v>
      </c>
      <c r="C486">
        <v>265402.34999999998</v>
      </c>
      <c r="D486">
        <v>0</v>
      </c>
      <c r="E486">
        <v>820567.35</v>
      </c>
      <c r="F486">
        <v>0</v>
      </c>
      <c r="G486">
        <v>774097.75149327028</v>
      </c>
      <c r="H486">
        <v>1.0600306594575268</v>
      </c>
    </row>
    <row r="487" spans="1:8" x14ac:dyDescent="0.5">
      <c r="A487" s="1">
        <v>43808</v>
      </c>
      <c r="B487">
        <v>557777.5</v>
      </c>
      <c r="C487">
        <v>265402.34999999998</v>
      </c>
      <c r="D487">
        <v>0</v>
      </c>
      <c r="E487">
        <v>823179.85</v>
      </c>
      <c r="F487">
        <v>0</v>
      </c>
      <c r="G487">
        <v>774097.75149327028</v>
      </c>
      <c r="H487">
        <v>1.0634055562260039</v>
      </c>
    </row>
    <row r="488" spans="1:8" x14ac:dyDescent="0.5">
      <c r="A488" s="1">
        <v>43809</v>
      </c>
      <c r="B488">
        <v>670030</v>
      </c>
      <c r="C488">
        <v>165792.47999999998</v>
      </c>
      <c r="D488">
        <v>0</v>
      </c>
      <c r="E488">
        <v>835822.48</v>
      </c>
      <c r="F488">
        <v>0</v>
      </c>
      <c r="G488">
        <v>774097.75149327028</v>
      </c>
      <c r="H488">
        <v>1.0797376408698511</v>
      </c>
    </row>
    <row r="489" spans="1:8" x14ac:dyDescent="0.5">
      <c r="A489" s="1">
        <v>43810</v>
      </c>
      <c r="B489">
        <v>666090</v>
      </c>
      <c r="C489">
        <v>165792.47999999998</v>
      </c>
      <c r="D489">
        <v>0</v>
      </c>
      <c r="E489">
        <v>831882.48</v>
      </c>
      <c r="F489">
        <v>0</v>
      </c>
      <c r="G489">
        <v>774097.75149327028</v>
      </c>
      <c r="H489">
        <v>1.0746478444037078</v>
      </c>
    </row>
    <row r="490" spans="1:8" x14ac:dyDescent="0.5">
      <c r="A490" s="1">
        <v>43811</v>
      </c>
      <c r="B490">
        <v>681102.5</v>
      </c>
      <c r="C490">
        <v>165792.47999999998</v>
      </c>
      <c r="D490">
        <v>0</v>
      </c>
      <c r="E490">
        <v>846894.98</v>
      </c>
      <c r="F490">
        <v>0</v>
      </c>
      <c r="G490">
        <v>774097.75149327028</v>
      </c>
      <c r="H490">
        <v>1.0940413899488799</v>
      </c>
    </row>
    <row r="491" spans="1:8" x14ac:dyDescent="0.5">
      <c r="A491" s="1">
        <v>43812</v>
      </c>
      <c r="B491">
        <v>687710</v>
      </c>
      <c r="C491">
        <v>166257.47999999998</v>
      </c>
      <c r="D491">
        <v>0</v>
      </c>
      <c r="E491">
        <v>853967.48</v>
      </c>
      <c r="F491">
        <v>0</v>
      </c>
      <c r="G491">
        <v>774097.75149327028</v>
      </c>
      <c r="H491">
        <v>1.1031778329709101</v>
      </c>
    </row>
    <row r="492" spans="1:8" x14ac:dyDescent="0.5">
      <c r="A492" s="1">
        <v>43815</v>
      </c>
      <c r="B492">
        <v>697345</v>
      </c>
      <c r="C492">
        <v>166257.47999999998</v>
      </c>
      <c r="D492">
        <v>0</v>
      </c>
      <c r="E492">
        <v>863602.48</v>
      </c>
      <c r="F492">
        <v>0</v>
      </c>
      <c r="G492">
        <v>774097.75149327028</v>
      </c>
      <c r="H492">
        <v>1.1156245814357049</v>
      </c>
    </row>
    <row r="493" spans="1:8" x14ac:dyDescent="0.5">
      <c r="A493" s="1">
        <v>43816</v>
      </c>
      <c r="B493">
        <v>862744.50000000012</v>
      </c>
      <c r="C493">
        <v>3241.5899999999674</v>
      </c>
      <c r="D493">
        <v>0</v>
      </c>
      <c r="E493">
        <v>865986.09000000008</v>
      </c>
      <c r="F493">
        <v>0</v>
      </c>
      <c r="G493">
        <v>774097.75149327028</v>
      </c>
      <c r="H493">
        <v>1.1187037920333356</v>
      </c>
    </row>
    <row r="494" spans="1:8" x14ac:dyDescent="0.5">
      <c r="A494" s="1">
        <v>43817</v>
      </c>
      <c r="B494">
        <v>460329.3</v>
      </c>
      <c r="C494">
        <v>479709.90999999992</v>
      </c>
      <c r="D494">
        <v>80000</v>
      </c>
      <c r="E494">
        <v>940039.21</v>
      </c>
      <c r="F494">
        <v>71511.333535925049</v>
      </c>
      <c r="G494">
        <v>845609.0850291953</v>
      </c>
      <c r="H494">
        <v>1.1116711334381471</v>
      </c>
    </row>
    <row r="495" spans="1:8" x14ac:dyDescent="0.5">
      <c r="A495" s="1">
        <v>43818</v>
      </c>
      <c r="B495">
        <v>454426.2</v>
      </c>
      <c r="C495">
        <v>479709.90999999992</v>
      </c>
      <c r="D495">
        <v>0</v>
      </c>
      <c r="E495">
        <v>934136.10999999987</v>
      </c>
      <c r="F495">
        <v>0</v>
      </c>
      <c r="G495">
        <v>845609.0850291953</v>
      </c>
      <c r="H495">
        <v>1.1046902481750751</v>
      </c>
    </row>
    <row r="496" spans="1:8" x14ac:dyDescent="0.5">
      <c r="A496" s="1">
        <v>43819</v>
      </c>
      <c r="B496">
        <v>451321.59999999998</v>
      </c>
      <c r="C496">
        <v>567746.99999999988</v>
      </c>
      <c r="D496">
        <v>87999.88</v>
      </c>
      <c r="E496">
        <v>1019068.5999999999</v>
      </c>
      <c r="F496">
        <v>79660.230680386594</v>
      </c>
      <c r="G496">
        <v>925269.31570958183</v>
      </c>
      <c r="H496">
        <v>1.1013751160855088</v>
      </c>
    </row>
    <row r="497" spans="1:8" x14ac:dyDescent="0.5">
      <c r="A497" s="1">
        <v>43822</v>
      </c>
      <c r="B497">
        <v>174910</v>
      </c>
      <c r="C497">
        <v>832246.62999999989</v>
      </c>
      <c r="D497">
        <v>0</v>
      </c>
      <c r="E497">
        <v>1007156.6299999999</v>
      </c>
      <c r="F497">
        <v>0</v>
      </c>
      <c r="G497">
        <v>925269.31570958183</v>
      </c>
      <c r="H497">
        <v>1.0885010589891002</v>
      </c>
    </row>
    <row r="498" spans="1:8" x14ac:dyDescent="0.5">
      <c r="A498" s="1">
        <v>43823</v>
      </c>
      <c r="B498">
        <v>177962.5</v>
      </c>
      <c r="C498">
        <v>832246.62999999989</v>
      </c>
      <c r="D498">
        <v>0</v>
      </c>
      <c r="E498">
        <v>1010209.1299999999</v>
      </c>
      <c r="F498">
        <v>0</v>
      </c>
      <c r="G498">
        <v>925269.31570958183</v>
      </c>
      <c r="H498">
        <v>1.0918000984667673</v>
      </c>
    </row>
    <row r="499" spans="1:8" x14ac:dyDescent="0.5">
      <c r="A499" s="1">
        <v>43824</v>
      </c>
      <c r="B499">
        <v>258844.40000000002</v>
      </c>
      <c r="C499">
        <v>752631.74999999988</v>
      </c>
      <c r="D499">
        <v>0</v>
      </c>
      <c r="E499">
        <v>1011476.1499999999</v>
      </c>
      <c r="F499">
        <v>0</v>
      </c>
      <c r="G499">
        <v>925269.31570958183</v>
      </c>
      <c r="H499">
        <v>1.0931694511281904</v>
      </c>
    </row>
    <row r="500" spans="1:8" x14ac:dyDescent="0.5">
      <c r="A500" s="1">
        <v>43825</v>
      </c>
      <c r="B500">
        <v>261333.3</v>
      </c>
      <c r="C500">
        <v>752631.74999999988</v>
      </c>
      <c r="D500">
        <v>0</v>
      </c>
      <c r="E500">
        <v>1013965.0499999998</v>
      </c>
      <c r="F500">
        <v>0</v>
      </c>
      <c r="G500">
        <v>925269.31570958183</v>
      </c>
      <c r="H500">
        <v>1.0958593706551243</v>
      </c>
    </row>
    <row r="501" spans="1:8" x14ac:dyDescent="0.5">
      <c r="A501" s="1">
        <v>43826</v>
      </c>
      <c r="B501">
        <v>520586.1</v>
      </c>
      <c r="C501">
        <v>485158.92999999988</v>
      </c>
      <c r="D501">
        <v>0</v>
      </c>
      <c r="E501">
        <v>1005745.0299999998</v>
      </c>
      <c r="F501">
        <v>0</v>
      </c>
      <c r="G501">
        <v>925269.31570958183</v>
      </c>
      <c r="H501">
        <v>1.0869754491195915</v>
      </c>
    </row>
    <row r="502" spans="1:8" x14ac:dyDescent="0.5">
      <c r="A502" s="1">
        <v>43829</v>
      </c>
      <c r="B502">
        <v>786562.9</v>
      </c>
      <c r="C502">
        <v>232744.3599999999</v>
      </c>
      <c r="D502">
        <v>0</v>
      </c>
      <c r="E502">
        <v>1019307.2599999999</v>
      </c>
      <c r="F502">
        <v>0</v>
      </c>
      <c r="G502">
        <v>925269.31570958183</v>
      </c>
      <c r="H502">
        <v>1.1016330517977904</v>
      </c>
    </row>
    <row r="503" spans="1:8" x14ac:dyDescent="0.5">
      <c r="A503" s="1">
        <v>43830</v>
      </c>
      <c r="B503">
        <v>786705.8</v>
      </c>
      <c r="C503">
        <v>232744.3599999999</v>
      </c>
      <c r="D503">
        <v>0</v>
      </c>
      <c r="E503">
        <v>1019450.1599999999</v>
      </c>
      <c r="F503">
        <v>0</v>
      </c>
      <c r="G503">
        <v>925269.31570958183</v>
      </c>
      <c r="H503">
        <v>1.1017874933183012</v>
      </c>
    </row>
    <row r="504" spans="1:8" x14ac:dyDescent="0.5">
      <c r="A504" s="1">
        <v>43832</v>
      </c>
      <c r="B504">
        <v>851053.3</v>
      </c>
      <c r="C504">
        <v>181598.71999999991</v>
      </c>
      <c r="D504">
        <v>0</v>
      </c>
      <c r="E504">
        <v>1032652.02</v>
      </c>
      <c r="F504">
        <v>0</v>
      </c>
      <c r="G504">
        <v>925269.31570958183</v>
      </c>
      <c r="H504">
        <v>1.1160556202040131</v>
      </c>
    </row>
    <row r="505" spans="1:8" x14ac:dyDescent="0.5">
      <c r="A505" s="1">
        <v>43833</v>
      </c>
      <c r="B505">
        <v>849545.6</v>
      </c>
      <c r="C505">
        <v>181598.71999999991</v>
      </c>
      <c r="D505">
        <v>0</v>
      </c>
      <c r="E505">
        <v>1031144.3199999998</v>
      </c>
      <c r="F505">
        <v>0</v>
      </c>
      <c r="G505">
        <v>925269.31570958183</v>
      </c>
      <c r="H505">
        <v>1.1144261486821523</v>
      </c>
    </row>
    <row r="506" spans="1:8" x14ac:dyDescent="0.5">
      <c r="A506" s="1">
        <v>43836</v>
      </c>
      <c r="B506">
        <v>933378.89999999991</v>
      </c>
      <c r="C506">
        <v>103948.22999999991</v>
      </c>
      <c r="D506">
        <v>0</v>
      </c>
      <c r="E506">
        <v>1037327.1299999998</v>
      </c>
      <c r="F506">
        <v>0</v>
      </c>
      <c r="G506">
        <v>925269.31570958183</v>
      </c>
      <c r="H506">
        <v>1.1211083220721327</v>
      </c>
    </row>
    <row r="507" spans="1:8" x14ac:dyDescent="0.5">
      <c r="A507" s="1">
        <v>43837</v>
      </c>
      <c r="B507">
        <v>941803.7</v>
      </c>
      <c r="C507">
        <v>103948.22999999991</v>
      </c>
      <c r="D507">
        <v>0</v>
      </c>
      <c r="E507">
        <v>1045751.9299999998</v>
      </c>
      <c r="F507">
        <v>0</v>
      </c>
      <c r="G507">
        <v>925269.31570958183</v>
      </c>
      <c r="H507">
        <v>1.1302135629538528</v>
      </c>
    </row>
    <row r="508" spans="1:8" x14ac:dyDescent="0.5">
      <c r="A508" s="1">
        <v>43838</v>
      </c>
      <c r="B508">
        <v>923706.69999999984</v>
      </c>
      <c r="C508">
        <v>103948.22999999991</v>
      </c>
      <c r="D508">
        <v>0</v>
      </c>
      <c r="E508">
        <v>1027654.9299999997</v>
      </c>
      <c r="F508">
        <v>0</v>
      </c>
      <c r="G508">
        <v>925269.31570958183</v>
      </c>
      <c r="H508">
        <v>1.1106549331660254</v>
      </c>
    </row>
    <row r="509" spans="1:8" x14ac:dyDescent="0.5">
      <c r="A509" s="1">
        <v>43839</v>
      </c>
      <c r="B509">
        <v>942815.3</v>
      </c>
      <c r="C509">
        <v>103948.22999999991</v>
      </c>
      <c r="D509">
        <v>0</v>
      </c>
      <c r="E509">
        <v>1046763.5299999999</v>
      </c>
      <c r="F509">
        <v>0</v>
      </c>
      <c r="G509">
        <v>925269.31570958183</v>
      </c>
      <c r="H509">
        <v>1.1313068662579016</v>
      </c>
    </row>
    <row r="510" spans="1:8" x14ac:dyDescent="0.5">
      <c r="A510" s="1">
        <v>43840</v>
      </c>
      <c r="B510">
        <v>945930.20000000007</v>
      </c>
      <c r="C510">
        <v>103948.22999999991</v>
      </c>
      <c r="D510">
        <v>0</v>
      </c>
      <c r="E510">
        <v>1049878.43</v>
      </c>
      <c r="F510">
        <v>0</v>
      </c>
      <c r="G510">
        <v>925269.31570958183</v>
      </c>
      <c r="H510">
        <v>1.1346733455597804</v>
      </c>
    </row>
    <row r="511" spans="1:8" x14ac:dyDescent="0.5">
      <c r="A511" s="1">
        <v>43843</v>
      </c>
      <c r="B511">
        <v>849024.9</v>
      </c>
      <c r="C511">
        <v>277434.16999999993</v>
      </c>
      <c r="D511">
        <v>60000</v>
      </c>
      <c r="E511">
        <v>1126459.0699999998</v>
      </c>
      <c r="F511">
        <v>52878.654667259827</v>
      </c>
      <c r="G511">
        <v>978147.97037684161</v>
      </c>
      <c r="H511">
        <v>1.1516244005148013</v>
      </c>
    </row>
    <row r="512" spans="1:8" x14ac:dyDescent="0.5">
      <c r="A512" s="1">
        <v>43844</v>
      </c>
      <c r="B512">
        <v>934844.90000000014</v>
      </c>
      <c r="C512">
        <v>185028.4599999999</v>
      </c>
      <c r="D512">
        <v>0</v>
      </c>
      <c r="E512">
        <v>1119873.3600000001</v>
      </c>
      <c r="F512">
        <v>0</v>
      </c>
      <c r="G512">
        <v>978147.97037684161</v>
      </c>
      <c r="H512">
        <v>1.1448915643801389</v>
      </c>
    </row>
    <row r="513" spans="1:8" x14ac:dyDescent="0.5">
      <c r="A513" s="1">
        <v>43845</v>
      </c>
      <c r="B513">
        <v>937693.39999999991</v>
      </c>
      <c r="C513">
        <v>185028.4599999999</v>
      </c>
      <c r="D513">
        <v>0</v>
      </c>
      <c r="E513">
        <v>1122721.8599999999</v>
      </c>
      <c r="F513">
        <v>0</v>
      </c>
      <c r="G513">
        <v>978147.97037684161</v>
      </c>
      <c r="H513">
        <v>1.1478037004641124</v>
      </c>
    </row>
    <row r="514" spans="1:8" x14ac:dyDescent="0.5">
      <c r="A514" s="1">
        <v>43846</v>
      </c>
      <c r="B514">
        <v>1022773.3999999999</v>
      </c>
      <c r="C514">
        <v>98790.099999999904</v>
      </c>
      <c r="D514">
        <v>0</v>
      </c>
      <c r="E514">
        <v>1121563.4999999998</v>
      </c>
      <c r="F514">
        <v>0</v>
      </c>
      <c r="G514">
        <v>978147.97037684161</v>
      </c>
      <c r="H514">
        <v>1.1466194624601693</v>
      </c>
    </row>
    <row r="515" spans="1:8" x14ac:dyDescent="0.5">
      <c r="A515" s="1">
        <v>43847</v>
      </c>
      <c r="B515">
        <v>1021507.4</v>
      </c>
      <c r="C515">
        <v>98790.099999999904</v>
      </c>
      <c r="D515">
        <v>0</v>
      </c>
      <c r="E515">
        <v>1120297.5</v>
      </c>
      <c r="F515">
        <v>0</v>
      </c>
      <c r="G515">
        <v>978147.97037684161</v>
      </c>
      <c r="H515">
        <v>1.1453251797561812</v>
      </c>
    </row>
    <row r="516" spans="1:8" x14ac:dyDescent="0.5">
      <c r="A516" s="1">
        <v>43850</v>
      </c>
      <c r="B516">
        <v>1050073.4000000001</v>
      </c>
      <c r="C516">
        <v>98790.099999999904</v>
      </c>
      <c r="D516">
        <v>0</v>
      </c>
      <c r="E516">
        <v>1148863.5</v>
      </c>
      <c r="F516">
        <v>0</v>
      </c>
      <c r="G516">
        <v>978147.97037684161</v>
      </c>
      <c r="H516">
        <v>1.1745293501528082</v>
      </c>
    </row>
    <row r="517" spans="1:8" x14ac:dyDescent="0.5">
      <c r="A517" s="1">
        <v>43851</v>
      </c>
      <c r="B517">
        <v>1111691.9000000001</v>
      </c>
      <c r="C517">
        <v>27662.229999999909</v>
      </c>
      <c r="D517">
        <v>0</v>
      </c>
      <c r="E517">
        <v>1139354.1300000001</v>
      </c>
      <c r="F517">
        <v>0</v>
      </c>
      <c r="G517">
        <v>978147.97037684161</v>
      </c>
      <c r="H517">
        <v>1.1648075388440997</v>
      </c>
    </row>
    <row r="518" spans="1:8" x14ac:dyDescent="0.5">
      <c r="A518" s="1">
        <v>43852</v>
      </c>
      <c r="B518">
        <v>860203.7</v>
      </c>
      <c r="C518">
        <v>452071.90999999992</v>
      </c>
      <c r="D518">
        <v>155799.19</v>
      </c>
      <c r="E518">
        <v>1312275.6099999999</v>
      </c>
      <c r="F518">
        <v>133755.30703948552</v>
      </c>
      <c r="G518">
        <v>1111903.277416327</v>
      </c>
      <c r="H518">
        <v>1.1802066210734334</v>
      </c>
    </row>
    <row r="519" spans="1:8" x14ac:dyDescent="0.5">
      <c r="A519" s="1">
        <v>43853</v>
      </c>
      <c r="B519">
        <v>1034124</v>
      </c>
      <c r="C519">
        <v>244299.78999999992</v>
      </c>
      <c r="D519">
        <v>0</v>
      </c>
      <c r="E519">
        <v>1278423.79</v>
      </c>
      <c r="F519">
        <v>0</v>
      </c>
      <c r="G519">
        <v>1111903.277416327</v>
      </c>
      <c r="H519">
        <v>1.1497616887780098</v>
      </c>
    </row>
    <row r="520" spans="1:8" x14ac:dyDescent="0.5">
      <c r="A520" s="1">
        <v>43864</v>
      </c>
      <c r="B520">
        <v>1078911.6000000001</v>
      </c>
      <c r="C520">
        <v>105635.61999999994</v>
      </c>
      <c r="D520">
        <v>113.45</v>
      </c>
      <c r="E520">
        <v>1184547.22</v>
      </c>
      <c r="F520">
        <v>98.672621559148467</v>
      </c>
      <c r="G520">
        <v>1112001.9500378862</v>
      </c>
      <c r="H520">
        <v>1.0652384377200437</v>
      </c>
    </row>
    <row r="521" spans="1:8" x14ac:dyDescent="0.5">
      <c r="A521" s="1">
        <v>43865</v>
      </c>
      <c r="B521">
        <v>620482.19999999995</v>
      </c>
      <c r="C521">
        <v>644240.21</v>
      </c>
      <c r="D521">
        <v>29098.59</v>
      </c>
      <c r="E521">
        <v>1264722.4099999999</v>
      </c>
      <c r="F521">
        <v>27316.503957818528</v>
      </c>
      <c r="G521">
        <v>1139318.4539957047</v>
      </c>
      <c r="H521">
        <v>1.1100692748059078</v>
      </c>
    </row>
    <row r="522" spans="1:8" x14ac:dyDescent="0.5">
      <c r="A522" s="1">
        <v>43866</v>
      </c>
      <c r="B522">
        <v>508792.5</v>
      </c>
      <c r="C522">
        <v>771975.45</v>
      </c>
      <c r="D522">
        <v>0</v>
      </c>
      <c r="E522">
        <v>1280767.95</v>
      </c>
      <c r="F522">
        <v>0</v>
      </c>
      <c r="G522">
        <v>1139318.4539957047</v>
      </c>
      <c r="H522">
        <v>1.124152729650097</v>
      </c>
    </row>
    <row r="523" spans="1:8" x14ac:dyDescent="0.5">
      <c r="A523" s="1">
        <v>43867</v>
      </c>
      <c r="B523">
        <v>525365.10000000009</v>
      </c>
      <c r="C523">
        <v>771975.45</v>
      </c>
      <c r="D523">
        <v>0</v>
      </c>
      <c r="E523">
        <v>1297340.55</v>
      </c>
      <c r="F523">
        <v>0</v>
      </c>
      <c r="G523">
        <v>1139318.4539957047</v>
      </c>
      <c r="H523">
        <v>1.1386987943977349</v>
      </c>
    </row>
    <row r="524" spans="1:8" x14ac:dyDescent="0.5">
      <c r="A524" s="1">
        <v>43868</v>
      </c>
      <c r="B524">
        <v>732548.6</v>
      </c>
      <c r="C524">
        <v>565272.05999999994</v>
      </c>
      <c r="D524">
        <v>0</v>
      </c>
      <c r="E524">
        <v>1297820.6599999999</v>
      </c>
      <c r="F524">
        <v>0</v>
      </c>
      <c r="G524">
        <v>1139318.4539957047</v>
      </c>
      <c r="H524">
        <v>1.139120195454056</v>
      </c>
    </row>
    <row r="525" spans="1:8" x14ac:dyDescent="0.5">
      <c r="A525" s="1">
        <v>43871</v>
      </c>
      <c r="B525">
        <v>818945.29999999993</v>
      </c>
      <c r="C525">
        <v>485763.20999999996</v>
      </c>
      <c r="D525">
        <v>0</v>
      </c>
      <c r="E525">
        <v>1304708.5099999998</v>
      </c>
      <c r="F525">
        <v>0</v>
      </c>
      <c r="G525">
        <v>1139318.4539957047</v>
      </c>
      <c r="H525">
        <v>1.1451657834771793</v>
      </c>
    </row>
    <row r="526" spans="1:8" x14ac:dyDescent="0.5">
      <c r="A526" s="1">
        <v>43872</v>
      </c>
      <c r="B526">
        <v>831595.29999999993</v>
      </c>
      <c r="C526">
        <v>470678.20999999996</v>
      </c>
      <c r="D526">
        <v>0</v>
      </c>
      <c r="E526">
        <v>1302273.5099999998</v>
      </c>
      <c r="F526">
        <v>0</v>
      </c>
      <c r="G526">
        <v>1139318.4539957047</v>
      </c>
      <c r="H526">
        <v>1.1430285408199923</v>
      </c>
    </row>
    <row r="527" spans="1:8" x14ac:dyDescent="0.5">
      <c r="A527" s="1">
        <v>43873</v>
      </c>
      <c r="B527">
        <v>1052938.5</v>
      </c>
      <c r="C527">
        <v>275358.63</v>
      </c>
      <c r="D527">
        <v>0</v>
      </c>
      <c r="E527">
        <v>1328297.1299999999</v>
      </c>
      <c r="F527">
        <v>0</v>
      </c>
      <c r="G527">
        <v>1139318.4539957047</v>
      </c>
      <c r="H527">
        <v>1.165869933328586</v>
      </c>
    </row>
    <row r="528" spans="1:8" x14ac:dyDescent="0.5">
      <c r="A528" s="1">
        <v>43874</v>
      </c>
      <c r="B528">
        <v>1104875.3999999999</v>
      </c>
      <c r="C528">
        <v>216540.99</v>
      </c>
      <c r="D528">
        <v>0</v>
      </c>
      <c r="E528">
        <v>1321416.3899999999</v>
      </c>
      <c r="F528">
        <v>0</v>
      </c>
      <c r="G528">
        <v>1139318.4539957047</v>
      </c>
      <c r="H528">
        <v>1.1598305858784781</v>
      </c>
    </row>
    <row r="529" spans="1:8" x14ac:dyDescent="0.5">
      <c r="A529" s="1">
        <v>43875</v>
      </c>
      <c r="B529">
        <v>1162005.1000000001</v>
      </c>
      <c r="C529">
        <v>158581.60999999999</v>
      </c>
      <c r="D529">
        <v>0</v>
      </c>
      <c r="E529">
        <v>1320586.71</v>
      </c>
      <c r="F529">
        <v>0</v>
      </c>
      <c r="G529">
        <v>1139318.4539957047</v>
      </c>
      <c r="H529">
        <v>1.1591023610374862</v>
      </c>
    </row>
    <row r="530" spans="1:8" x14ac:dyDescent="0.5">
      <c r="A530" s="1">
        <v>43878</v>
      </c>
      <c r="B530">
        <v>1282644.8</v>
      </c>
      <c r="C530">
        <v>79857.999999999985</v>
      </c>
      <c r="D530">
        <v>0</v>
      </c>
      <c r="E530">
        <v>1362502.8</v>
      </c>
      <c r="F530">
        <v>0</v>
      </c>
      <c r="G530">
        <v>1139318.4539957047</v>
      </c>
      <c r="H530">
        <v>1.195892856138304</v>
      </c>
    </row>
    <row r="531" spans="1:8" x14ac:dyDescent="0.5">
      <c r="A531" s="1">
        <v>43879</v>
      </c>
      <c r="B531">
        <v>1350249.3</v>
      </c>
      <c r="C531">
        <v>32562.869999999995</v>
      </c>
      <c r="D531">
        <v>0</v>
      </c>
      <c r="E531">
        <v>1382812.17</v>
      </c>
      <c r="F531">
        <v>0</v>
      </c>
      <c r="G531">
        <v>1139318.4539957047</v>
      </c>
      <c r="H531">
        <v>1.2137187501442974</v>
      </c>
    </row>
    <row r="532" spans="1:8" x14ac:dyDescent="0.5">
      <c r="A532" s="1">
        <v>43880</v>
      </c>
      <c r="B532">
        <v>1363413.6</v>
      </c>
      <c r="C532">
        <v>1975.0099999999948</v>
      </c>
      <c r="D532">
        <v>0</v>
      </c>
      <c r="E532">
        <v>1365388.61</v>
      </c>
      <c r="F532">
        <v>0</v>
      </c>
      <c r="G532">
        <v>1139318.4539957047</v>
      </c>
      <c r="H532">
        <v>1.198425782722508</v>
      </c>
    </row>
    <row r="533" spans="1:8" x14ac:dyDescent="0.5">
      <c r="A533" s="1">
        <v>43881</v>
      </c>
      <c r="B533">
        <v>1405380.3</v>
      </c>
      <c r="C533">
        <v>1975.0099999999948</v>
      </c>
      <c r="D533">
        <v>0</v>
      </c>
      <c r="E533">
        <v>1407355.31</v>
      </c>
      <c r="F533">
        <v>0</v>
      </c>
      <c r="G533">
        <v>1139318.4539957047</v>
      </c>
      <c r="H533">
        <v>1.2352606991173216</v>
      </c>
    </row>
    <row r="534" spans="1:8" x14ac:dyDescent="0.5">
      <c r="A534" s="1">
        <v>43882</v>
      </c>
      <c r="B534">
        <v>1431200.1</v>
      </c>
      <c r="C534">
        <v>1975.0099999999948</v>
      </c>
      <c r="D534">
        <v>0</v>
      </c>
      <c r="E534">
        <v>1433175.11</v>
      </c>
      <c r="F534">
        <v>0</v>
      </c>
      <c r="G534">
        <v>1139318.4539957047</v>
      </c>
      <c r="H534">
        <v>1.2579231951994725</v>
      </c>
    </row>
    <row r="535" spans="1:8" x14ac:dyDescent="0.5">
      <c r="A535" s="1">
        <v>43885</v>
      </c>
      <c r="B535">
        <v>1472041.2000000002</v>
      </c>
      <c r="C535">
        <v>101975.01</v>
      </c>
      <c r="D535">
        <v>100000</v>
      </c>
      <c r="E535">
        <v>1574016.2100000002</v>
      </c>
      <c r="F535">
        <v>79496.10944580978</v>
      </c>
      <c r="G535">
        <v>1218814.5634415145</v>
      </c>
      <c r="H535">
        <v>1.2914320662164702</v>
      </c>
    </row>
    <row r="536" spans="1:8" x14ac:dyDescent="0.5">
      <c r="A536" s="1">
        <v>43886</v>
      </c>
      <c r="B536">
        <v>1104528.976</v>
      </c>
      <c r="C536">
        <v>445854.3600000001</v>
      </c>
      <c r="D536">
        <v>0</v>
      </c>
      <c r="E536">
        <v>1550383.3360000001</v>
      </c>
      <c r="F536">
        <v>0</v>
      </c>
      <c r="G536">
        <v>1218814.5634415145</v>
      </c>
      <c r="H536">
        <v>1.272042017304297</v>
      </c>
    </row>
    <row r="537" spans="1:8" x14ac:dyDescent="0.5">
      <c r="A537" s="1">
        <v>43887</v>
      </c>
      <c r="B537">
        <v>0</v>
      </c>
      <c r="C537">
        <v>1512758.33</v>
      </c>
      <c r="D537">
        <v>0</v>
      </c>
      <c r="E537">
        <v>1512758.33</v>
      </c>
      <c r="F537">
        <v>0</v>
      </c>
      <c r="G537">
        <v>1218814.5634415145</v>
      </c>
      <c r="H537">
        <v>1.2411718528604458</v>
      </c>
    </row>
    <row r="538" spans="1:8" x14ac:dyDescent="0.5">
      <c r="A538" s="1">
        <v>43888</v>
      </c>
      <c r="B538">
        <v>0</v>
      </c>
      <c r="C538">
        <v>1512758.33</v>
      </c>
      <c r="D538">
        <v>0</v>
      </c>
      <c r="E538">
        <v>1512758.33</v>
      </c>
      <c r="F538">
        <v>0</v>
      </c>
      <c r="G538">
        <v>1218814.5634415145</v>
      </c>
      <c r="H538">
        <v>1.2411718528604458</v>
      </c>
    </row>
    <row r="539" spans="1:8" x14ac:dyDescent="0.5">
      <c r="A539" s="1">
        <v>43889</v>
      </c>
      <c r="B539">
        <v>0</v>
      </c>
      <c r="C539">
        <v>1512758.33</v>
      </c>
      <c r="D539">
        <v>0</v>
      </c>
      <c r="E539">
        <v>1512758.33</v>
      </c>
      <c r="F539">
        <v>0</v>
      </c>
      <c r="G539">
        <v>1218814.5634415145</v>
      </c>
      <c r="H539">
        <v>1.2411718528604458</v>
      </c>
    </row>
    <row r="540" spans="1:8" x14ac:dyDescent="0.5">
      <c r="A540" s="1">
        <v>43892</v>
      </c>
      <c r="B540">
        <v>0</v>
      </c>
      <c r="C540">
        <v>1512758.33</v>
      </c>
      <c r="D540">
        <v>0</v>
      </c>
      <c r="E540">
        <v>1512758.33</v>
      </c>
      <c r="F540">
        <v>0</v>
      </c>
      <c r="G540">
        <v>1218814.5634415145</v>
      </c>
      <c r="H540">
        <v>1.2411718528604458</v>
      </c>
    </row>
    <row r="541" spans="1:8" x14ac:dyDescent="0.5">
      <c r="A541" s="1">
        <v>43893</v>
      </c>
      <c r="B541">
        <v>0</v>
      </c>
      <c r="C541">
        <v>1512758.33</v>
      </c>
      <c r="D541">
        <v>0</v>
      </c>
      <c r="E541">
        <v>1512758.33</v>
      </c>
      <c r="F541">
        <v>0</v>
      </c>
      <c r="G541">
        <v>1218814.5634415145</v>
      </c>
      <c r="H541">
        <v>1.2411718528604458</v>
      </c>
    </row>
    <row r="542" spans="1:8" x14ac:dyDescent="0.5">
      <c r="A542" s="1">
        <v>43894</v>
      </c>
      <c r="B542">
        <v>0</v>
      </c>
      <c r="C542">
        <v>1512758.33</v>
      </c>
      <c r="D542">
        <v>0</v>
      </c>
      <c r="E542">
        <v>1512758.33</v>
      </c>
      <c r="F542">
        <v>0</v>
      </c>
      <c r="G542">
        <v>1218814.5634415145</v>
      </c>
      <c r="H542">
        <v>1.2411718528604458</v>
      </c>
    </row>
    <row r="543" spans="1:8" x14ac:dyDescent="0.5">
      <c r="A543" s="1">
        <v>43895</v>
      </c>
      <c r="B543">
        <v>0</v>
      </c>
      <c r="C543">
        <v>1512758.33</v>
      </c>
      <c r="D543">
        <v>0</v>
      </c>
      <c r="E543">
        <v>1512758.33</v>
      </c>
      <c r="F543">
        <v>0</v>
      </c>
      <c r="G543">
        <v>1218814.5634415145</v>
      </c>
      <c r="H543">
        <v>1.2411718528604458</v>
      </c>
    </row>
    <row r="544" spans="1:8" x14ac:dyDescent="0.5">
      <c r="A544" s="1">
        <v>43896</v>
      </c>
      <c r="B544">
        <v>103808</v>
      </c>
      <c r="C544">
        <v>1407638.8</v>
      </c>
      <c r="D544">
        <v>0</v>
      </c>
      <c r="E544">
        <v>1511446.8</v>
      </c>
      <c r="F544">
        <v>0</v>
      </c>
      <c r="G544">
        <v>1218814.5634415145</v>
      </c>
      <c r="H544">
        <v>1.2400957826859178</v>
      </c>
    </row>
    <row r="545" spans="1:8" x14ac:dyDescent="0.5">
      <c r="A545" s="1">
        <v>43899</v>
      </c>
      <c r="B545">
        <v>173634</v>
      </c>
      <c r="C545">
        <v>1332245.6800000002</v>
      </c>
      <c r="D545">
        <v>0</v>
      </c>
      <c r="E545">
        <v>1505879.6800000002</v>
      </c>
      <c r="F545">
        <v>0</v>
      </c>
      <c r="G545">
        <v>1218814.5634415145</v>
      </c>
      <c r="H545">
        <v>1.2355281313245159</v>
      </c>
    </row>
    <row r="546" spans="1:8" x14ac:dyDescent="0.5">
      <c r="A546" s="1">
        <v>43900</v>
      </c>
      <c r="B546">
        <v>176962</v>
      </c>
      <c r="C546">
        <v>1332245.6800000002</v>
      </c>
      <c r="D546">
        <v>0</v>
      </c>
      <c r="E546">
        <v>1509207.6800000002</v>
      </c>
      <c r="F546">
        <v>0</v>
      </c>
      <c r="G546">
        <v>1218814.5634415145</v>
      </c>
      <c r="H546">
        <v>1.2382586533414197</v>
      </c>
    </row>
    <row r="547" spans="1:8" x14ac:dyDescent="0.5">
      <c r="A547" s="1">
        <v>43901</v>
      </c>
      <c r="B547">
        <v>174014</v>
      </c>
      <c r="C547">
        <v>1132245.6800000002</v>
      </c>
      <c r="D547">
        <v>-200000</v>
      </c>
      <c r="E547">
        <v>1306259.6800000002</v>
      </c>
      <c r="F547">
        <v>-161517.14301394418</v>
      </c>
      <c r="G547">
        <v>1057297.4204275704</v>
      </c>
      <c r="H547">
        <v>1.2354704123573381</v>
      </c>
    </row>
    <row r="548" spans="1:8" x14ac:dyDescent="0.5">
      <c r="A548" s="1">
        <v>43902</v>
      </c>
      <c r="B548">
        <v>71295</v>
      </c>
      <c r="C548">
        <v>1229112.6100000001</v>
      </c>
      <c r="D548">
        <v>0</v>
      </c>
      <c r="E548">
        <v>1300407.6100000001</v>
      </c>
      <c r="F548">
        <v>0</v>
      </c>
      <c r="G548">
        <v>1057297.4204275704</v>
      </c>
      <c r="H548">
        <v>1.2299354797197142</v>
      </c>
    </row>
    <row r="549" spans="1:8" x14ac:dyDescent="0.5">
      <c r="A549" s="1">
        <v>43903</v>
      </c>
      <c r="B549">
        <v>78473</v>
      </c>
      <c r="C549">
        <v>1229112.6100000001</v>
      </c>
      <c r="D549">
        <v>0</v>
      </c>
      <c r="E549">
        <v>1307585.6100000001</v>
      </c>
      <c r="F549">
        <v>0</v>
      </c>
      <c r="G549">
        <v>1057297.4204275704</v>
      </c>
      <c r="H549">
        <v>1.2367244871090419</v>
      </c>
    </row>
    <row r="550" spans="1:8" x14ac:dyDescent="0.5">
      <c r="A550" s="1">
        <v>43906</v>
      </c>
      <c r="B550">
        <v>0</v>
      </c>
      <c r="C550">
        <v>1305447.7200000002</v>
      </c>
      <c r="D550">
        <v>0</v>
      </c>
      <c r="E550">
        <v>1305447.7200000002</v>
      </c>
      <c r="F550">
        <v>0</v>
      </c>
      <c r="G550">
        <v>1057297.4204275704</v>
      </c>
      <c r="H550">
        <v>1.234702454369063</v>
      </c>
    </row>
    <row r="551" spans="1:8" x14ac:dyDescent="0.5">
      <c r="A551" s="1">
        <v>43907</v>
      </c>
      <c r="B551">
        <v>0</v>
      </c>
      <c r="C551">
        <v>1305447.7200000002</v>
      </c>
      <c r="D551">
        <v>0</v>
      </c>
      <c r="E551">
        <v>1305447.7200000002</v>
      </c>
      <c r="F551">
        <v>0</v>
      </c>
      <c r="G551">
        <v>1057297.4204275704</v>
      </c>
      <c r="H551">
        <v>1.234702454369063</v>
      </c>
    </row>
    <row r="552" spans="1:8" x14ac:dyDescent="0.5">
      <c r="A552" s="1">
        <v>43908</v>
      </c>
      <c r="B552">
        <v>0</v>
      </c>
      <c r="C552">
        <v>1305447.7200000002</v>
      </c>
      <c r="D552">
        <v>0</v>
      </c>
      <c r="E552">
        <v>1305447.7200000002</v>
      </c>
      <c r="F552">
        <v>0</v>
      </c>
      <c r="G552">
        <v>1057297.4204275704</v>
      </c>
      <c r="H552">
        <v>1.234702454369063</v>
      </c>
    </row>
    <row r="553" spans="1:8" x14ac:dyDescent="0.5">
      <c r="A553" s="1">
        <v>43909</v>
      </c>
      <c r="B553">
        <v>0</v>
      </c>
      <c r="C553">
        <v>1305447.7200000002</v>
      </c>
      <c r="D553">
        <v>0</v>
      </c>
      <c r="E553">
        <v>1305447.7200000002</v>
      </c>
      <c r="F553">
        <v>0</v>
      </c>
      <c r="G553">
        <v>1057297.4204275704</v>
      </c>
      <c r="H553">
        <v>1.234702454369063</v>
      </c>
    </row>
    <row r="554" spans="1:8" x14ac:dyDescent="0.5">
      <c r="A554" s="1">
        <v>43910</v>
      </c>
      <c r="B554">
        <v>0</v>
      </c>
      <c r="C554">
        <v>1305480.2200000002</v>
      </c>
      <c r="D554">
        <v>0</v>
      </c>
      <c r="E554">
        <v>1305480.2200000002</v>
      </c>
      <c r="F554">
        <v>0</v>
      </c>
      <c r="G554">
        <v>1057297.4204275704</v>
      </c>
      <c r="H554">
        <v>1.2347331931180394</v>
      </c>
    </row>
    <row r="555" spans="1:8" x14ac:dyDescent="0.5">
      <c r="A555" s="1">
        <v>43913</v>
      </c>
      <c r="B555">
        <v>0</v>
      </c>
      <c r="C555">
        <v>305480.2200000002</v>
      </c>
      <c r="D555">
        <v>-1000000</v>
      </c>
      <c r="E555">
        <v>305480.2200000002</v>
      </c>
      <c r="F555">
        <v>-809891.56651302637</v>
      </c>
      <c r="G555">
        <v>247405.85391454399</v>
      </c>
      <c r="H555">
        <v>1.2347331931180399</v>
      </c>
    </row>
    <row r="556" spans="1:8" x14ac:dyDescent="0.5">
      <c r="A556" s="1">
        <v>43914</v>
      </c>
      <c r="B556">
        <v>0</v>
      </c>
      <c r="C556">
        <v>305480.2200000002</v>
      </c>
      <c r="D556">
        <v>0</v>
      </c>
      <c r="E556">
        <v>305480.2200000002</v>
      </c>
      <c r="F556">
        <v>0</v>
      </c>
      <c r="G556">
        <v>247405.85391454399</v>
      </c>
      <c r="H556">
        <v>1.2347331931180399</v>
      </c>
    </row>
    <row r="557" spans="1:8" x14ac:dyDescent="0.5">
      <c r="A557" s="1">
        <v>43915</v>
      </c>
      <c r="B557">
        <v>0</v>
      </c>
      <c r="C557">
        <v>305480.2200000002</v>
      </c>
      <c r="D557">
        <v>0</v>
      </c>
      <c r="E557">
        <v>305480.2200000002</v>
      </c>
      <c r="F557">
        <v>0</v>
      </c>
      <c r="G557">
        <v>247405.85391454399</v>
      </c>
      <c r="H557">
        <v>1.2347331931180399</v>
      </c>
    </row>
    <row r="558" spans="1:8" x14ac:dyDescent="0.5">
      <c r="A558" s="1">
        <v>43916</v>
      </c>
      <c r="B558">
        <v>0</v>
      </c>
      <c r="C558">
        <v>305480.2200000002</v>
      </c>
      <c r="D558">
        <v>0</v>
      </c>
      <c r="E558">
        <v>305480.2200000002</v>
      </c>
      <c r="F558">
        <v>0</v>
      </c>
      <c r="G558">
        <v>247405.85391454399</v>
      </c>
      <c r="H558">
        <v>1.2347331931180399</v>
      </c>
    </row>
    <row r="559" spans="1:8" x14ac:dyDescent="0.5">
      <c r="A559" s="1">
        <v>43917</v>
      </c>
      <c r="B559">
        <v>0</v>
      </c>
      <c r="C559">
        <v>305480.2200000002</v>
      </c>
      <c r="D559">
        <v>0</v>
      </c>
      <c r="E559">
        <v>305480.2200000002</v>
      </c>
      <c r="F559">
        <v>0</v>
      </c>
      <c r="G559">
        <v>247405.85391454399</v>
      </c>
      <c r="H559">
        <v>1.2347331931180399</v>
      </c>
    </row>
    <row r="560" spans="1:8" x14ac:dyDescent="0.5">
      <c r="A560" s="1">
        <v>43920</v>
      </c>
      <c r="B560">
        <v>0</v>
      </c>
      <c r="C560">
        <v>305480.2200000002</v>
      </c>
      <c r="D560">
        <v>0</v>
      </c>
      <c r="E560">
        <v>305480.2200000002</v>
      </c>
      <c r="F560">
        <v>0</v>
      </c>
      <c r="G560">
        <v>247405.85391454399</v>
      </c>
      <c r="H560">
        <v>1.2347331931180399</v>
      </c>
    </row>
    <row r="561" spans="1:8" x14ac:dyDescent="0.5">
      <c r="A561" s="1">
        <v>43921</v>
      </c>
      <c r="B561">
        <v>0</v>
      </c>
      <c r="C561">
        <v>405480.2200000002</v>
      </c>
      <c r="D561">
        <v>100000</v>
      </c>
      <c r="E561">
        <v>405480.2200000002</v>
      </c>
      <c r="F561">
        <v>80989.156651302605</v>
      </c>
      <c r="G561">
        <v>328395.01056584658</v>
      </c>
      <c r="H561">
        <v>1.2347331931180399</v>
      </c>
    </row>
    <row r="562" spans="1:8" x14ac:dyDescent="0.5">
      <c r="A562" s="1">
        <v>43922</v>
      </c>
      <c r="B562">
        <v>0</v>
      </c>
      <c r="C562">
        <v>405480.2200000002</v>
      </c>
      <c r="D562">
        <v>0</v>
      </c>
      <c r="E562">
        <v>405480.2200000002</v>
      </c>
      <c r="F562">
        <v>0</v>
      </c>
      <c r="G562">
        <v>328395.01056584658</v>
      </c>
      <c r="H562">
        <v>1.2347331931180399</v>
      </c>
    </row>
    <row r="563" spans="1:8" x14ac:dyDescent="0.5">
      <c r="A563" s="1">
        <v>43923</v>
      </c>
      <c r="B563">
        <v>0</v>
      </c>
      <c r="C563">
        <v>405480.2200000002</v>
      </c>
      <c r="D563">
        <v>0</v>
      </c>
      <c r="E563">
        <v>405480.2200000002</v>
      </c>
      <c r="F563">
        <v>0</v>
      </c>
      <c r="G563">
        <v>328395.01056584658</v>
      </c>
      <c r="H563">
        <v>1.2347331931180399</v>
      </c>
    </row>
    <row r="564" spans="1:8" x14ac:dyDescent="0.5">
      <c r="A564" s="1">
        <v>43924</v>
      </c>
      <c r="B564">
        <v>0</v>
      </c>
      <c r="C564">
        <v>405480.2200000002</v>
      </c>
      <c r="D564">
        <v>0</v>
      </c>
      <c r="E564">
        <v>405480.2200000002</v>
      </c>
      <c r="F564">
        <v>0</v>
      </c>
      <c r="G564">
        <v>328395.01056584658</v>
      </c>
      <c r="H564">
        <v>1.2347331931180399</v>
      </c>
    </row>
    <row r="565" spans="1:8" x14ac:dyDescent="0.5">
      <c r="A565" s="1">
        <v>43928</v>
      </c>
      <c r="B565">
        <v>0</v>
      </c>
      <c r="C565">
        <v>405480.2200000002</v>
      </c>
      <c r="D565">
        <v>0</v>
      </c>
      <c r="E565">
        <v>405480.2200000002</v>
      </c>
      <c r="F565">
        <v>0</v>
      </c>
      <c r="G565">
        <v>328395.01056584658</v>
      </c>
      <c r="H565">
        <v>1.2347331931180399</v>
      </c>
    </row>
    <row r="566" spans="1:8" x14ac:dyDescent="0.5">
      <c r="A566" s="1">
        <v>43929</v>
      </c>
      <c r="B566">
        <v>0</v>
      </c>
      <c r="C566">
        <v>405480.2200000002</v>
      </c>
      <c r="D566">
        <v>0</v>
      </c>
      <c r="E566">
        <v>405480.2200000002</v>
      </c>
      <c r="F566">
        <v>0</v>
      </c>
      <c r="G566">
        <v>328395.01056584658</v>
      </c>
      <c r="H566">
        <v>1.2347331931180399</v>
      </c>
    </row>
    <row r="567" spans="1:8" x14ac:dyDescent="0.5">
      <c r="A567" s="1">
        <v>43930</v>
      </c>
      <c r="B567">
        <v>148067</v>
      </c>
      <c r="C567">
        <v>257393.80000000022</v>
      </c>
      <c r="D567">
        <v>0</v>
      </c>
      <c r="E567">
        <v>405460.80000000022</v>
      </c>
      <c r="F567">
        <v>0</v>
      </c>
      <c r="G567">
        <v>328395.01056584658</v>
      </c>
      <c r="H567">
        <v>1.2346740570186012</v>
      </c>
    </row>
    <row r="568" spans="1:8" x14ac:dyDescent="0.5">
      <c r="A568" s="1">
        <v>43931</v>
      </c>
      <c r="B568">
        <v>146462</v>
      </c>
      <c r="C568">
        <v>257393.80000000022</v>
      </c>
      <c r="D568">
        <v>0</v>
      </c>
      <c r="E568">
        <v>403855.80000000022</v>
      </c>
      <c r="F568">
        <v>0</v>
      </c>
      <c r="G568">
        <v>328395.01056584658</v>
      </c>
      <c r="H568">
        <v>1.2297866502421266</v>
      </c>
    </row>
    <row r="569" spans="1:8" x14ac:dyDescent="0.5">
      <c r="A569" s="1">
        <v>43934</v>
      </c>
      <c r="B569">
        <v>145705</v>
      </c>
      <c r="C569">
        <v>257393.80000000022</v>
      </c>
      <c r="D569">
        <v>0</v>
      </c>
      <c r="E569">
        <v>403098.80000000022</v>
      </c>
      <c r="F569">
        <v>0</v>
      </c>
      <c r="G569">
        <v>328395.01056584658</v>
      </c>
      <c r="H569">
        <v>1.227481499507054</v>
      </c>
    </row>
    <row r="570" spans="1:8" x14ac:dyDescent="0.5">
      <c r="A570" s="1">
        <v>43935</v>
      </c>
      <c r="B570">
        <v>230689</v>
      </c>
      <c r="C570">
        <v>175649.2800000002</v>
      </c>
      <c r="D570">
        <v>0</v>
      </c>
      <c r="E570">
        <v>406338.2800000002</v>
      </c>
      <c r="F570">
        <v>0</v>
      </c>
      <c r="G570">
        <v>328395.01056584658</v>
      </c>
      <c r="H570">
        <v>1.2373460829988012</v>
      </c>
    </row>
    <row r="571" spans="1:8" x14ac:dyDescent="0.5">
      <c r="A571" s="1">
        <v>43936</v>
      </c>
      <c r="B571">
        <v>345554.4</v>
      </c>
      <c r="C571">
        <v>258420.1200000002</v>
      </c>
      <c r="D571">
        <v>200000</v>
      </c>
      <c r="E571">
        <v>603974.52000000025</v>
      </c>
      <c r="F571">
        <v>161636.26551052311</v>
      </c>
      <c r="G571">
        <v>490031.27607636969</v>
      </c>
      <c r="H571">
        <v>1.2325223908889296</v>
      </c>
    </row>
    <row r="572" spans="1:8" x14ac:dyDescent="0.5">
      <c r="A572" s="1">
        <v>43937</v>
      </c>
      <c r="B572">
        <v>346017</v>
      </c>
      <c r="C572">
        <v>258420.1200000002</v>
      </c>
      <c r="D572">
        <v>0</v>
      </c>
      <c r="E572">
        <v>604437.12000000023</v>
      </c>
      <c r="F572">
        <v>0</v>
      </c>
      <c r="G572">
        <v>490031.27607636969</v>
      </c>
      <c r="H572">
        <v>1.2334664122658996</v>
      </c>
    </row>
    <row r="573" spans="1:8" x14ac:dyDescent="0.5">
      <c r="A573" s="1">
        <v>43938</v>
      </c>
      <c r="B573">
        <v>624170.69999999995</v>
      </c>
      <c r="C573">
        <v>82691.620000000199</v>
      </c>
      <c r="D573">
        <v>100000</v>
      </c>
      <c r="E573">
        <v>706862.32000000018</v>
      </c>
      <c r="F573">
        <v>81072.333227378462</v>
      </c>
      <c r="G573">
        <v>571103.60930374812</v>
      </c>
      <c r="H573">
        <v>1.2377129271897969</v>
      </c>
    </row>
    <row r="574" spans="1:8" x14ac:dyDescent="0.5">
      <c r="A574" s="1">
        <v>43941</v>
      </c>
      <c r="B574">
        <v>901085.6</v>
      </c>
      <c r="C574">
        <v>8312.5300000002026</v>
      </c>
      <c r="D574">
        <v>200000</v>
      </c>
      <c r="E574">
        <v>909398.13000000012</v>
      </c>
      <c r="F574">
        <v>161588.35833935751</v>
      </c>
      <c r="G574">
        <v>732691.96764310566</v>
      </c>
      <c r="H574">
        <v>1.2411738768275511</v>
      </c>
    </row>
    <row r="575" spans="1:8" x14ac:dyDescent="0.5">
      <c r="A575" s="1">
        <v>43942</v>
      </c>
      <c r="B575">
        <v>894067.8</v>
      </c>
      <c r="C575">
        <v>8312.5300000002026</v>
      </c>
      <c r="D575">
        <v>0</v>
      </c>
      <c r="E575">
        <v>902380.33000000031</v>
      </c>
      <c r="F575">
        <v>0</v>
      </c>
      <c r="G575">
        <v>732691.96764310566</v>
      </c>
      <c r="H575">
        <v>1.2315957726447329</v>
      </c>
    </row>
    <row r="576" spans="1:8" x14ac:dyDescent="0.5">
      <c r="A576" s="1">
        <v>43943</v>
      </c>
      <c r="B576">
        <v>897816.1</v>
      </c>
      <c r="C576">
        <v>208312.5300000002</v>
      </c>
      <c r="D576">
        <v>200000</v>
      </c>
      <c r="E576">
        <v>1106128.6300000001</v>
      </c>
      <c r="F576">
        <v>162390.94388130234</v>
      </c>
      <c r="G576">
        <v>895082.91152440803</v>
      </c>
      <c r="H576">
        <v>1.2357834293989167</v>
      </c>
    </row>
    <row r="577" spans="1:8" x14ac:dyDescent="0.5">
      <c r="A577" s="1">
        <v>43944</v>
      </c>
      <c r="B577">
        <v>899243.50000000012</v>
      </c>
      <c r="C577">
        <v>208312.5300000002</v>
      </c>
      <c r="D577">
        <v>0</v>
      </c>
      <c r="E577">
        <v>1107556.0300000003</v>
      </c>
      <c r="F577">
        <v>0</v>
      </c>
      <c r="G577">
        <v>895082.91152440803</v>
      </c>
      <c r="H577">
        <v>1.2373781420022096</v>
      </c>
    </row>
    <row r="578" spans="1:8" x14ac:dyDescent="0.5">
      <c r="A578" s="1">
        <v>43945</v>
      </c>
      <c r="B578">
        <v>895230.9</v>
      </c>
      <c r="C578">
        <v>208312.5300000002</v>
      </c>
      <c r="D578">
        <v>0</v>
      </c>
      <c r="E578">
        <v>1103543.4300000002</v>
      </c>
      <c r="F578">
        <v>0</v>
      </c>
      <c r="G578">
        <v>895082.91152440803</v>
      </c>
      <c r="H578">
        <v>1.2328952053397655</v>
      </c>
    </row>
    <row r="579" spans="1:8" x14ac:dyDescent="0.5">
      <c r="A579" s="1">
        <v>43948</v>
      </c>
      <c r="B579">
        <v>790539.70000000007</v>
      </c>
      <c r="C579">
        <v>317754.69000000018</v>
      </c>
      <c r="D579">
        <v>0</v>
      </c>
      <c r="E579">
        <v>1108294.3900000001</v>
      </c>
      <c r="F579">
        <v>0</v>
      </c>
      <c r="G579">
        <v>895082.91152440803</v>
      </c>
      <c r="H579">
        <v>1.2382030488242408</v>
      </c>
    </row>
    <row r="580" spans="1:8" x14ac:dyDescent="0.5">
      <c r="A580" s="1">
        <v>43949</v>
      </c>
      <c r="B580">
        <v>755026.50000000012</v>
      </c>
      <c r="C580">
        <v>351225.11000000022</v>
      </c>
      <c r="D580">
        <v>0</v>
      </c>
      <c r="E580">
        <v>1106251.6100000003</v>
      </c>
      <c r="F580">
        <v>0</v>
      </c>
      <c r="G580">
        <v>895082.91152440803</v>
      </c>
      <c r="H580">
        <v>1.2359208244920603</v>
      </c>
    </row>
    <row r="581" spans="1:8" x14ac:dyDescent="0.5">
      <c r="A581" s="1">
        <v>43950</v>
      </c>
      <c r="B581">
        <v>944133.3</v>
      </c>
      <c r="C581">
        <v>163861.92000000022</v>
      </c>
      <c r="D581">
        <v>0</v>
      </c>
      <c r="E581">
        <v>1107995.2200000002</v>
      </c>
      <c r="F581">
        <v>0</v>
      </c>
      <c r="G581">
        <v>895082.91152440803</v>
      </c>
      <c r="H581">
        <v>1.2378688116310734</v>
      </c>
    </row>
    <row r="582" spans="1:8" x14ac:dyDescent="0.5">
      <c r="A582" s="1">
        <v>43951</v>
      </c>
      <c r="B582">
        <v>1070784.8000000003</v>
      </c>
      <c r="C582">
        <v>51407.190000000221</v>
      </c>
      <c r="D582">
        <v>0</v>
      </c>
      <c r="E582">
        <v>1122191.9900000005</v>
      </c>
      <c r="F582">
        <v>0</v>
      </c>
      <c r="G582">
        <v>895082.91152440803</v>
      </c>
      <c r="H582">
        <v>1.2537296551542974</v>
      </c>
    </row>
    <row r="583" spans="1:8" x14ac:dyDescent="0.5">
      <c r="A583" s="1">
        <v>43957</v>
      </c>
      <c r="B583">
        <v>1179246.8</v>
      </c>
      <c r="C583">
        <v>91194.140000000218</v>
      </c>
      <c r="D583">
        <v>150000</v>
      </c>
      <c r="E583">
        <v>1270440.9400000002</v>
      </c>
      <c r="F583">
        <v>119643.01824027557</v>
      </c>
      <c r="G583">
        <v>1014725.9297646836</v>
      </c>
      <c r="H583">
        <v>1.2520040167837412</v>
      </c>
    </row>
    <row r="584" spans="1:8" x14ac:dyDescent="0.5">
      <c r="A584" s="1">
        <v>43958</v>
      </c>
      <c r="B584">
        <v>1173629.7</v>
      </c>
      <c r="C584">
        <v>121194.14000000022</v>
      </c>
      <c r="D584">
        <v>30000</v>
      </c>
      <c r="E584">
        <v>1294823.8400000001</v>
      </c>
      <c r="F584">
        <v>23961.584466052002</v>
      </c>
      <c r="G584">
        <v>1038687.5142307356</v>
      </c>
      <c r="H584">
        <v>1.2465961343137566</v>
      </c>
    </row>
    <row r="585" spans="1:8" x14ac:dyDescent="0.5">
      <c r="A585" s="1">
        <v>43959</v>
      </c>
      <c r="B585">
        <v>1183517</v>
      </c>
      <c r="C585">
        <v>121194.14000000022</v>
      </c>
      <c r="D585">
        <v>0</v>
      </c>
      <c r="E585">
        <v>1304711.1400000001</v>
      </c>
      <c r="F585">
        <v>0</v>
      </c>
      <c r="G585">
        <v>1038687.5142307356</v>
      </c>
      <c r="H585">
        <v>1.256115166616097</v>
      </c>
    </row>
    <row r="586" spans="1:8" x14ac:dyDescent="0.5">
      <c r="A586" s="1">
        <v>43962</v>
      </c>
      <c r="B586">
        <v>1181200.8999999999</v>
      </c>
      <c r="C586">
        <v>121194.14000000022</v>
      </c>
      <c r="D586">
        <v>0</v>
      </c>
      <c r="E586">
        <v>1302395.04</v>
      </c>
      <c r="F586">
        <v>0</v>
      </c>
      <c r="G586">
        <v>1038687.5142307356</v>
      </c>
      <c r="H586">
        <v>1.2538853333233426</v>
      </c>
    </row>
    <row r="587" spans="1:8" x14ac:dyDescent="0.5">
      <c r="A587" s="1">
        <v>43963</v>
      </c>
      <c r="B587">
        <v>1180640.2000000002</v>
      </c>
      <c r="C587">
        <v>121194.14000000022</v>
      </c>
      <c r="D587">
        <v>0</v>
      </c>
      <c r="E587">
        <v>1301834.3400000003</v>
      </c>
      <c r="F587">
        <v>0</v>
      </c>
      <c r="G587">
        <v>1038687.5142307356</v>
      </c>
      <c r="H587">
        <v>1.2533455174573407</v>
      </c>
    </row>
    <row r="588" spans="1:8" x14ac:dyDescent="0.5">
      <c r="A588" s="1">
        <v>43964</v>
      </c>
      <c r="B588">
        <v>1186668.7999999998</v>
      </c>
      <c r="C588">
        <v>121194.14000000022</v>
      </c>
      <c r="D588">
        <v>0</v>
      </c>
      <c r="E588">
        <v>1307862.94</v>
      </c>
      <c r="F588">
        <v>0</v>
      </c>
      <c r="G588">
        <v>1038687.5142307356</v>
      </c>
      <c r="H588">
        <v>1.2591495729768341</v>
      </c>
    </row>
    <row r="589" spans="1:8" x14ac:dyDescent="0.5">
      <c r="A589" s="1">
        <v>43965</v>
      </c>
      <c r="B589">
        <v>1176963.4000000001</v>
      </c>
      <c r="C589">
        <v>121194.14000000022</v>
      </c>
      <c r="D589">
        <v>0</v>
      </c>
      <c r="E589">
        <v>1298157.5400000003</v>
      </c>
      <c r="F589">
        <v>0</v>
      </c>
      <c r="G589">
        <v>1038687.5142307356</v>
      </c>
      <c r="H589">
        <v>1.2498056655291858</v>
      </c>
    </row>
    <row r="590" spans="1:8" x14ac:dyDescent="0.5">
      <c r="A590" s="1">
        <v>43966</v>
      </c>
      <c r="B590">
        <v>1180138.0999999999</v>
      </c>
      <c r="C590">
        <v>121194.14000000022</v>
      </c>
      <c r="D590">
        <v>0</v>
      </c>
      <c r="E590">
        <v>1301332.24</v>
      </c>
      <c r="F590">
        <v>0</v>
      </c>
      <c r="G590">
        <v>1038687.5142307356</v>
      </c>
      <c r="H590">
        <v>1.2528621189441969</v>
      </c>
    </row>
    <row r="591" spans="1:8" x14ac:dyDescent="0.5">
      <c r="A591" s="1">
        <v>43969</v>
      </c>
      <c r="B591">
        <v>1182633.7999999998</v>
      </c>
      <c r="C591">
        <v>121194.14000000022</v>
      </c>
      <c r="D591">
        <v>0</v>
      </c>
      <c r="E591">
        <v>1303827.94</v>
      </c>
      <c r="F591">
        <v>0</v>
      </c>
      <c r="G591">
        <v>1038687.5142307356</v>
      </c>
      <c r="H591">
        <v>1.2552648627586811</v>
      </c>
    </row>
    <row r="592" spans="1:8" x14ac:dyDescent="0.5">
      <c r="A592" s="1">
        <v>43970</v>
      </c>
      <c r="B592">
        <v>1195399.7</v>
      </c>
      <c r="C592">
        <v>1194.1400000002177</v>
      </c>
      <c r="D592">
        <v>-120000</v>
      </c>
      <c r="E592">
        <v>1196593.8400000001</v>
      </c>
      <c r="F592">
        <v>-95597.354439028422</v>
      </c>
      <c r="G592">
        <v>943090.15979170718</v>
      </c>
      <c r="H592">
        <v>1.2688011083312356</v>
      </c>
    </row>
    <row r="593" spans="1:8" x14ac:dyDescent="0.5">
      <c r="A593" s="1">
        <v>43971</v>
      </c>
      <c r="B593">
        <v>1189915.3</v>
      </c>
      <c r="C593">
        <v>1194.1400000002177</v>
      </c>
      <c r="D593">
        <v>0</v>
      </c>
      <c r="E593">
        <v>1191109.4400000002</v>
      </c>
      <c r="F593">
        <v>0</v>
      </c>
      <c r="G593">
        <v>943090.15979170718</v>
      </c>
      <c r="H593">
        <v>1.2629857576534051</v>
      </c>
    </row>
    <row r="594" spans="1:8" x14ac:dyDescent="0.5">
      <c r="A594" s="1">
        <v>43972</v>
      </c>
      <c r="B594">
        <v>1034823.3</v>
      </c>
      <c r="C594">
        <v>148887.21000000022</v>
      </c>
      <c r="D594">
        <v>0</v>
      </c>
      <c r="E594">
        <v>1183710.5100000002</v>
      </c>
      <c r="F594">
        <v>0</v>
      </c>
      <c r="G594">
        <v>943090.15979170718</v>
      </c>
      <c r="H594">
        <v>1.2551403465618143</v>
      </c>
    </row>
    <row r="595" spans="1:8" x14ac:dyDescent="0.5">
      <c r="A595" s="1">
        <v>43973</v>
      </c>
      <c r="B595">
        <v>415480.29999999993</v>
      </c>
      <c r="C595">
        <v>748470.87000000023</v>
      </c>
      <c r="D595">
        <v>0</v>
      </c>
      <c r="E595">
        <v>1163951.1700000002</v>
      </c>
      <c r="F595">
        <v>0</v>
      </c>
      <c r="G595">
        <v>943090.15979170718</v>
      </c>
      <c r="H595">
        <v>1.2341886487894993</v>
      </c>
    </row>
    <row r="596" spans="1:8" x14ac:dyDescent="0.5">
      <c r="A596" s="1">
        <v>43976</v>
      </c>
      <c r="B596">
        <v>416415.80000000005</v>
      </c>
      <c r="C596">
        <v>748470.87000000023</v>
      </c>
      <c r="D596">
        <v>0</v>
      </c>
      <c r="E596">
        <v>1164886.6700000004</v>
      </c>
      <c r="F596">
        <v>0</v>
      </c>
      <c r="G596">
        <v>943090.15979170718</v>
      </c>
      <c r="H596">
        <v>1.2351806006090442</v>
      </c>
    </row>
    <row r="597" spans="1:8" x14ac:dyDescent="0.5">
      <c r="A597" s="1">
        <v>43977</v>
      </c>
      <c r="B597">
        <v>543563.4</v>
      </c>
      <c r="C597">
        <v>630643.7200000002</v>
      </c>
      <c r="D597">
        <v>0</v>
      </c>
      <c r="E597">
        <v>1174207.1200000001</v>
      </c>
      <c r="F597">
        <v>0</v>
      </c>
      <c r="G597">
        <v>943090.15979170718</v>
      </c>
      <c r="H597">
        <v>1.2450634839190113</v>
      </c>
    </row>
    <row r="598" spans="1:8" x14ac:dyDescent="0.5">
      <c r="A598" s="1">
        <v>43978</v>
      </c>
      <c r="B598">
        <v>534782.80000000005</v>
      </c>
      <c r="C598">
        <v>630643.7200000002</v>
      </c>
      <c r="D598">
        <v>0</v>
      </c>
      <c r="E598">
        <v>1165426.5200000003</v>
      </c>
      <c r="F598">
        <v>0</v>
      </c>
      <c r="G598">
        <v>943090.15979170718</v>
      </c>
      <c r="H598">
        <v>1.2357530273217978</v>
      </c>
    </row>
    <row r="599" spans="1:8" x14ac:dyDescent="0.5">
      <c r="A599" s="1">
        <v>43979</v>
      </c>
      <c r="B599">
        <v>533273</v>
      </c>
      <c r="C599">
        <v>630643.7200000002</v>
      </c>
      <c r="D599">
        <v>0</v>
      </c>
      <c r="E599">
        <v>1163916.7200000002</v>
      </c>
      <c r="F599">
        <v>0</v>
      </c>
      <c r="G599">
        <v>943090.15979170718</v>
      </c>
      <c r="H599">
        <v>1.2341521199384216</v>
      </c>
    </row>
    <row r="600" spans="1:8" x14ac:dyDescent="0.5">
      <c r="A600" s="1">
        <v>43980</v>
      </c>
      <c r="B600">
        <v>537014.9</v>
      </c>
      <c r="C600">
        <v>630643.7200000002</v>
      </c>
      <c r="D600">
        <v>0</v>
      </c>
      <c r="E600">
        <v>1167658.6200000001</v>
      </c>
      <c r="F600">
        <v>0</v>
      </c>
      <c r="G600">
        <v>943090.15979170718</v>
      </c>
      <c r="H600">
        <v>1.2381198211821991</v>
      </c>
    </row>
    <row r="601" spans="1:8" x14ac:dyDescent="0.5">
      <c r="A601" s="1">
        <v>43983</v>
      </c>
      <c r="B601">
        <v>846661.29999999993</v>
      </c>
      <c r="C601">
        <v>341000.43000000017</v>
      </c>
      <c r="D601">
        <v>0</v>
      </c>
      <c r="E601">
        <v>1187661.73</v>
      </c>
      <c r="F601">
        <v>0</v>
      </c>
      <c r="G601">
        <v>943090.15979170718</v>
      </c>
      <c r="H601">
        <v>1.25932999901336</v>
      </c>
    </row>
    <row r="602" spans="1:8" x14ac:dyDescent="0.5">
      <c r="A602" s="1">
        <v>43984</v>
      </c>
      <c r="B602">
        <v>842234.09999999986</v>
      </c>
      <c r="C602">
        <v>341000.43000000017</v>
      </c>
      <c r="D602">
        <v>0</v>
      </c>
      <c r="E602">
        <v>1183234.53</v>
      </c>
      <c r="F602">
        <v>0</v>
      </c>
      <c r="G602">
        <v>943090.15979170718</v>
      </c>
      <c r="H602">
        <v>1.2546356440208555</v>
      </c>
    </row>
    <row r="603" spans="1:8" x14ac:dyDescent="0.5">
      <c r="A603" s="1">
        <v>43985</v>
      </c>
      <c r="B603">
        <v>837366.40000000014</v>
      </c>
      <c r="C603">
        <v>341000.43000000017</v>
      </c>
      <c r="D603">
        <v>0</v>
      </c>
      <c r="E603">
        <v>1178366.8300000003</v>
      </c>
      <c r="F603">
        <v>0</v>
      </c>
      <c r="G603">
        <v>943090.15979170718</v>
      </c>
      <c r="H603">
        <v>1.2494742074927987</v>
      </c>
    </row>
    <row r="604" spans="1:8" x14ac:dyDescent="0.5">
      <c r="A604" s="1">
        <v>43986</v>
      </c>
      <c r="B604">
        <v>839167.29999999993</v>
      </c>
      <c r="C604">
        <v>341000.43000000017</v>
      </c>
      <c r="D604">
        <v>0</v>
      </c>
      <c r="E604">
        <v>1180167.73</v>
      </c>
      <c r="F604">
        <v>0</v>
      </c>
      <c r="G604">
        <v>943090.15979170718</v>
      </c>
      <c r="H604">
        <v>1.2513837810169224</v>
      </c>
    </row>
    <row r="605" spans="1:8" x14ac:dyDescent="0.5">
      <c r="A605" s="1">
        <v>43987</v>
      </c>
      <c r="B605">
        <v>845610.4</v>
      </c>
      <c r="C605">
        <v>341000.43000000017</v>
      </c>
      <c r="D605">
        <v>0</v>
      </c>
      <c r="E605">
        <v>1186610.83</v>
      </c>
      <c r="F605">
        <v>0</v>
      </c>
      <c r="G605">
        <v>943090.15979170718</v>
      </c>
      <c r="H605">
        <v>1.2582156834952847</v>
      </c>
    </row>
    <row r="606" spans="1:8" x14ac:dyDescent="0.5">
      <c r="A606" s="1">
        <v>43990</v>
      </c>
      <c r="B606">
        <v>959146.5</v>
      </c>
      <c r="C606">
        <v>218805.09000000017</v>
      </c>
      <c r="D606">
        <v>0</v>
      </c>
      <c r="E606">
        <v>1177951.5900000001</v>
      </c>
      <c r="F606">
        <v>0</v>
      </c>
      <c r="G606">
        <v>943090.15979170718</v>
      </c>
      <c r="H606">
        <v>1.2490339102468897</v>
      </c>
    </row>
    <row r="607" spans="1:8" x14ac:dyDescent="0.5">
      <c r="A607" s="1">
        <v>43991</v>
      </c>
      <c r="B607">
        <v>971725.7</v>
      </c>
      <c r="C607">
        <v>218805.09000000017</v>
      </c>
      <c r="D607">
        <v>0</v>
      </c>
      <c r="E607">
        <v>1190530.79</v>
      </c>
      <c r="F607">
        <v>0</v>
      </c>
      <c r="G607">
        <v>943090.15979170718</v>
      </c>
      <c r="H607">
        <v>1.2623721895931383</v>
      </c>
    </row>
    <row r="608" spans="1:8" x14ac:dyDescent="0.5">
      <c r="A608" s="1">
        <v>43992</v>
      </c>
      <c r="B608">
        <v>1107443.6000000001</v>
      </c>
      <c r="C608">
        <v>95419.850000000166</v>
      </c>
      <c r="D608">
        <v>0</v>
      </c>
      <c r="E608">
        <v>1202863.4500000002</v>
      </c>
      <c r="F608">
        <v>0</v>
      </c>
      <c r="G608">
        <v>943090.15979170718</v>
      </c>
      <c r="H608">
        <v>1.2754490517276387</v>
      </c>
    </row>
    <row r="609" spans="1:8" x14ac:dyDescent="0.5">
      <c r="A609" s="1">
        <v>43993</v>
      </c>
      <c r="B609">
        <v>1395507</v>
      </c>
      <c r="C609">
        <v>112138.23000000016</v>
      </c>
      <c r="D609">
        <v>300000</v>
      </c>
      <c r="E609">
        <v>1507645.2300000002</v>
      </c>
      <c r="F609">
        <v>235211.27683903946</v>
      </c>
      <c r="G609">
        <v>1178301.4366307466</v>
      </c>
      <c r="H609">
        <v>1.2795072492748412</v>
      </c>
    </row>
    <row r="610" spans="1:8" x14ac:dyDescent="0.5">
      <c r="A610" s="1">
        <v>43994</v>
      </c>
      <c r="B610">
        <v>1409502.8</v>
      </c>
      <c r="C610">
        <v>112138.23000000016</v>
      </c>
      <c r="D610">
        <v>0</v>
      </c>
      <c r="E610">
        <v>1521641.0300000003</v>
      </c>
      <c r="F610">
        <v>0</v>
      </c>
      <c r="G610">
        <v>1178301.4366307466</v>
      </c>
      <c r="H610">
        <v>1.2913851945653263</v>
      </c>
    </row>
    <row r="611" spans="1:8" x14ac:dyDescent="0.5">
      <c r="A611" s="1">
        <v>43997</v>
      </c>
      <c r="B611">
        <v>1512036.5999999999</v>
      </c>
      <c r="C611">
        <v>4361.2900000001537</v>
      </c>
      <c r="D611">
        <v>0</v>
      </c>
      <c r="E611">
        <v>1516397.8900000001</v>
      </c>
      <c r="F611">
        <v>0</v>
      </c>
      <c r="G611">
        <v>1178301.4366307466</v>
      </c>
      <c r="H611">
        <v>1.2869354503513224</v>
      </c>
    </row>
    <row r="612" spans="1:8" x14ac:dyDescent="0.5">
      <c r="A612" s="1">
        <v>43998</v>
      </c>
      <c r="B612">
        <v>1542233</v>
      </c>
      <c r="C612">
        <v>4361.2900000001537</v>
      </c>
      <c r="D612">
        <v>0</v>
      </c>
      <c r="E612">
        <v>1546594.29</v>
      </c>
      <c r="F612">
        <v>0</v>
      </c>
      <c r="G612">
        <v>1178301.4366307466</v>
      </c>
      <c r="H612">
        <v>1.312562508981026</v>
      </c>
    </row>
    <row r="613" spans="1:8" x14ac:dyDescent="0.5">
      <c r="A613" s="1">
        <v>43999</v>
      </c>
      <c r="B613">
        <v>1538913</v>
      </c>
      <c r="C613">
        <v>4361.2900000001537</v>
      </c>
      <c r="D613">
        <v>0</v>
      </c>
      <c r="E613">
        <v>1543274.29</v>
      </c>
      <c r="F613">
        <v>0</v>
      </c>
      <c r="G613">
        <v>1178301.4366307466</v>
      </c>
      <c r="H613">
        <v>1.3097448938133034</v>
      </c>
    </row>
    <row r="614" spans="1:8" x14ac:dyDescent="0.5">
      <c r="A614" s="1">
        <v>44000</v>
      </c>
      <c r="B614">
        <v>1548873.0000000002</v>
      </c>
      <c r="C614">
        <v>4361.2900000001537</v>
      </c>
      <c r="D614">
        <v>0</v>
      </c>
      <c r="E614">
        <v>1553234.2900000005</v>
      </c>
      <c r="F614">
        <v>0</v>
      </c>
      <c r="G614">
        <v>1178301.4366307466</v>
      </c>
      <c r="H614">
        <v>1.3181977393164712</v>
      </c>
    </row>
    <row r="615" spans="1:8" x14ac:dyDescent="0.5">
      <c r="A615" s="1">
        <v>44001</v>
      </c>
      <c r="B615">
        <v>1587753.5999999999</v>
      </c>
      <c r="C615">
        <v>4538.5200000001532</v>
      </c>
      <c r="D615">
        <v>177.23</v>
      </c>
      <c r="E615">
        <v>1592292.12</v>
      </c>
      <c r="F615">
        <v>134.44872094220065</v>
      </c>
      <c r="G615">
        <v>1178435.8853516888</v>
      </c>
      <c r="H615">
        <v>1.3511911337669433</v>
      </c>
    </row>
    <row r="616" spans="1:8" x14ac:dyDescent="0.5">
      <c r="A616" s="1">
        <v>44004</v>
      </c>
      <c r="B616">
        <v>1608894.0000000002</v>
      </c>
      <c r="C616">
        <v>4538.5200000001532</v>
      </c>
      <c r="D616">
        <v>0</v>
      </c>
      <c r="E616">
        <v>1613432.5200000005</v>
      </c>
      <c r="F616">
        <v>0</v>
      </c>
      <c r="G616">
        <v>1178435.8853516888</v>
      </c>
      <c r="H616">
        <v>1.3691305059999022</v>
      </c>
    </row>
    <row r="617" spans="1:8" x14ac:dyDescent="0.5">
      <c r="A617" s="1">
        <v>44005</v>
      </c>
      <c r="B617">
        <v>1639090.4000000001</v>
      </c>
      <c r="C617">
        <v>4538.5200000001532</v>
      </c>
      <c r="D617">
        <v>0</v>
      </c>
      <c r="E617">
        <v>1643628.9200000004</v>
      </c>
      <c r="F617">
        <v>0</v>
      </c>
      <c r="G617">
        <v>1178435.8853516888</v>
      </c>
      <c r="H617">
        <v>1.3947546408173752</v>
      </c>
    </row>
    <row r="618" spans="1:8" x14ac:dyDescent="0.5">
      <c r="A618" s="1">
        <v>44006</v>
      </c>
      <c r="B618">
        <v>1177540.5999999999</v>
      </c>
      <c r="C618">
        <v>461924.14000000013</v>
      </c>
      <c r="D618">
        <v>0</v>
      </c>
      <c r="E618">
        <v>1639464.74</v>
      </c>
      <c r="F618">
        <v>0</v>
      </c>
      <c r="G618">
        <v>1178435.8853516888</v>
      </c>
      <c r="H618">
        <v>1.3912209907887547</v>
      </c>
    </row>
    <row r="619" spans="1:8" x14ac:dyDescent="0.5">
      <c r="A619" s="1">
        <v>44011</v>
      </c>
      <c r="B619">
        <v>1285457.2</v>
      </c>
      <c r="C619">
        <v>393074.43000000011</v>
      </c>
      <c r="D619">
        <v>50000</v>
      </c>
      <c r="E619">
        <v>1678531.6300000001</v>
      </c>
      <c r="F619">
        <v>35939.653247793816</v>
      </c>
      <c r="G619">
        <v>1214375.5385994827</v>
      </c>
      <c r="H619">
        <v>1.3822179191255946</v>
      </c>
    </row>
    <row r="620" spans="1:8" x14ac:dyDescent="0.5">
      <c r="A620" s="1">
        <v>44012</v>
      </c>
      <c r="B620">
        <v>1724184.1999999997</v>
      </c>
      <c r="C620">
        <v>91.910000000090804</v>
      </c>
      <c r="D620">
        <v>0</v>
      </c>
      <c r="E620">
        <v>1724276.1099999999</v>
      </c>
      <c r="F620">
        <v>0</v>
      </c>
      <c r="G620">
        <v>1214375.5385994827</v>
      </c>
      <c r="H620">
        <v>1.4198870573336615</v>
      </c>
    </row>
    <row r="621" spans="1:8" x14ac:dyDescent="0.5">
      <c r="A621" s="1">
        <v>44013</v>
      </c>
      <c r="B621">
        <v>1616647.2000000002</v>
      </c>
      <c r="C621">
        <v>89000.680000000095</v>
      </c>
      <c r="D621">
        <v>0</v>
      </c>
      <c r="E621">
        <v>1705647.8800000004</v>
      </c>
      <c r="F621">
        <v>0</v>
      </c>
      <c r="G621">
        <v>1214375.5385994827</v>
      </c>
      <c r="H621">
        <v>1.4045472967671047</v>
      </c>
    </row>
    <row r="622" spans="1:8" x14ac:dyDescent="0.5">
      <c r="A622" s="1">
        <v>44014</v>
      </c>
      <c r="B622">
        <v>1627054.7999999998</v>
      </c>
      <c r="C622">
        <v>89000.680000000095</v>
      </c>
      <c r="D622">
        <v>0</v>
      </c>
      <c r="E622">
        <v>1716055.48</v>
      </c>
      <c r="F622">
        <v>0</v>
      </c>
      <c r="G622">
        <v>1214375.5385994827</v>
      </c>
      <c r="H622">
        <v>1.4131176275002175</v>
      </c>
    </row>
    <row r="623" spans="1:8" x14ac:dyDescent="0.5">
      <c r="A623" s="1">
        <v>44015</v>
      </c>
      <c r="B623">
        <v>1740636.8</v>
      </c>
      <c r="C623">
        <v>56.050000000090222</v>
      </c>
      <c r="D623">
        <v>0</v>
      </c>
      <c r="E623">
        <v>1740692.85</v>
      </c>
      <c r="F623">
        <v>0</v>
      </c>
      <c r="G623">
        <v>1214375.5385994827</v>
      </c>
      <c r="H623">
        <v>1.4334057255529946</v>
      </c>
    </row>
    <row r="624" spans="1:8" x14ac:dyDescent="0.5">
      <c r="A624" s="1">
        <v>44018</v>
      </c>
      <c r="B624">
        <v>1797317.2</v>
      </c>
      <c r="C624">
        <v>56.050000000090222</v>
      </c>
      <c r="D624">
        <v>0</v>
      </c>
      <c r="E624">
        <v>1797373.25</v>
      </c>
      <c r="F624">
        <v>0</v>
      </c>
      <c r="G624">
        <v>1214375.5385994827</v>
      </c>
      <c r="H624">
        <v>1.4800802493706995</v>
      </c>
    </row>
    <row r="625" spans="1:8" x14ac:dyDescent="0.5">
      <c r="A625" s="1">
        <v>44019</v>
      </c>
      <c r="B625">
        <v>1839120</v>
      </c>
      <c r="C625">
        <v>386.65000000008877</v>
      </c>
      <c r="D625">
        <v>0</v>
      </c>
      <c r="E625">
        <v>1839506.6500000001</v>
      </c>
      <c r="F625">
        <v>0</v>
      </c>
      <c r="G625">
        <v>1214375.5385994827</v>
      </c>
      <c r="H625">
        <v>1.5147757769573238</v>
      </c>
    </row>
    <row r="626" spans="1:8" x14ac:dyDescent="0.5">
      <c r="A626" s="1">
        <v>44020</v>
      </c>
      <c r="B626">
        <v>1911670</v>
      </c>
      <c r="C626">
        <v>386.65000000008877</v>
      </c>
      <c r="D626">
        <v>0</v>
      </c>
      <c r="E626">
        <v>1912056.6500000001</v>
      </c>
      <c r="F626">
        <v>0</v>
      </c>
      <c r="G626">
        <v>1214375.5385994827</v>
      </c>
      <c r="H626">
        <v>1.5745184164407169</v>
      </c>
    </row>
    <row r="627" spans="1:8" x14ac:dyDescent="0.5">
      <c r="A627" s="1">
        <v>44021</v>
      </c>
      <c r="B627">
        <v>1999662.8</v>
      </c>
      <c r="C627">
        <v>521.490000000078</v>
      </c>
      <c r="D627">
        <v>40000</v>
      </c>
      <c r="E627">
        <v>2000184.29</v>
      </c>
      <c r="F627">
        <v>25404.593291720361</v>
      </c>
      <c r="G627">
        <v>1239780.1318912031</v>
      </c>
      <c r="H627">
        <v>1.6133379125449046</v>
      </c>
    </row>
    <row r="628" spans="1:8" x14ac:dyDescent="0.5">
      <c r="A628" s="1">
        <v>44022</v>
      </c>
      <c r="B628">
        <v>2011478.8</v>
      </c>
      <c r="C628">
        <v>192.84000000008382</v>
      </c>
      <c r="D628">
        <v>0</v>
      </c>
      <c r="E628">
        <v>2011671.6400000001</v>
      </c>
      <c r="F628">
        <v>0</v>
      </c>
      <c r="G628">
        <v>1239780.1318912031</v>
      </c>
      <c r="H628">
        <v>1.6226035473978175</v>
      </c>
    </row>
    <row r="629" spans="1:8" x14ac:dyDescent="0.5">
      <c r="A629" s="1">
        <v>44025</v>
      </c>
      <c r="B629">
        <v>2107090.5</v>
      </c>
      <c r="C629">
        <v>192.84000000008382</v>
      </c>
      <c r="D629">
        <v>0</v>
      </c>
      <c r="E629">
        <v>2107283.34</v>
      </c>
      <c r="F629">
        <v>0</v>
      </c>
      <c r="G629">
        <v>1239780.1318912031</v>
      </c>
      <c r="H629">
        <v>1.6997234314325376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000C6F9-ABAB-4CC2-BF41-1BD0A31C150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1</vt:i4>
      </vt:variant>
    </vt:vector>
  </HeadingPairs>
  <TitlesOfParts>
    <vt:vector size="4" baseType="lpstr">
      <vt:lpstr>交易记录</vt:lpstr>
      <vt:lpstr>净值记录</vt:lpstr>
      <vt:lpstr>RawData</vt:lpstr>
      <vt:lpstr>净值记录!Print_Titles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2020-07-13T15:06:39Z</dcterms:modified>
</cp:coreProperties>
</file>