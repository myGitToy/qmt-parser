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 filterPrivacy="1"/>
  <xr:revisionPtr revIDLastSave="111" documentId="114_{88A210E7-0F58-4476-93EF-FC99B8818E22}" xr6:coauthVersionLast="45" xr6:coauthVersionMax="45" xr10:uidLastSave="{D9ACBFBD-FBD7-489C-B137-C2FF63DC9A30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  <sheet name="RawData" sheetId="4" r:id="rId3"/>
  </sheets>
  <definedNames>
    <definedName name="_xlnm._FilterDatabase" localSheetId="1" hidden="1">净值记录!$A$1:$F$178</definedName>
    <definedName name="ExternalData_1" localSheetId="2" hidden="1">RawData!$A$1:$H$697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00" i="2" l="1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396" i="2" l="1"/>
  <c r="D396" i="2" s="1"/>
  <c r="F396" i="2" s="1"/>
  <c r="C397" i="2"/>
  <c r="D397" i="2" s="1"/>
  <c r="F397" i="2" s="1"/>
  <c r="C398" i="2"/>
  <c r="D398" i="2" s="1"/>
  <c r="F398" i="2" s="1"/>
  <c r="C399" i="2"/>
  <c r="D399" i="2" s="1"/>
  <c r="F399" i="2" s="1"/>
  <c r="C384" i="2"/>
  <c r="D384" i="2"/>
  <c r="F384" i="2" s="1"/>
  <c r="C390" i="2"/>
  <c r="D390" i="2" s="1"/>
  <c r="F390" i="2" s="1"/>
  <c r="C391" i="2"/>
  <c r="D391" i="2" s="1"/>
  <c r="F391" i="2" s="1"/>
  <c r="C392" i="2"/>
  <c r="D392" i="2" s="1"/>
  <c r="F392" i="2" s="1"/>
  <c r="C393" i="2"/>
  <c r="D393" i="2" s="1"/>
  <c r="F393" i="2" s="1"/>
  <c r="C394" i="2"/>
  <c r="D394" i="2" s="1"/>
  <c r="F394" i="2" s="1"/>
  <c r="C395" i="2"/>
  <c r="D395" i="2"/>
  <c r="F395" i="2" s="1"/>
  <c r="C382" i="2"/>
  <c r="D382" i="2" s="1"/>
  <c r="F382" i="2" s="1"/>
  <c r="C383" i="2"/>
  <c r="D383" i="2"/>
  <c r="F383" i="2" s="1"/>
  <c r="C385" i="2"/>
  <c r="D385" i="2" s="1"/>
  <c r="F385" i="2" s="1"/>
  <c r="C386" i="2"/>
  <c r="D386" i="2" s="1"/>
  <c r="F386" i="2" s="1"/>
  <c r="C387" i="2"/>
  <c r="D387" i="2" s="1"/>
  <c r="F387" i="2" s="1"/>
  <c r="C388" i="2"/>
  <c r="D388" i="2" s="1"/>
  <c r="F388" i="2" s="1"/>
  <c r="C389" i="2"/>
  <c r="D389" i="2"/>
  <c r="F389" i="2" s="1"/>
  <c r="C3" i="2"/>
  <c r="C4" i="2"/>
  <c r="C5" i="2"/>
  <c r="D5" i="2" s="1"/>
  <c r="F5" i="2" s="1"/>
  <c r="C6" i="2"/>
  <c r="C7" i="2"/>
  <c r="C8" i="2"/>
  <c r="C9" i="2"/>
  <c r="D9" i="2" s="1"/>
  <c r="F9" i="2" s="1"/>
  <c r="C10" i="2"/>
  <c r="D10" i="2" s="1"/>
  <c r="C11" i="2"/>
  <c r="C12" i="2"/>
  <c r="C13" i="2"/>
  <c r="C14" i="2"/>
  <c r="C15" i="2"/>
  <c r="C16" i="2"/>
  <c r="C17" i="2"/>
  <c r="D17" i="2" s="1"/>
  <c r="F17" i="2" s="1"/>
  <c r="C18" i="2"/>
  <c r="D18" i="2" s="1"/>
  <c r="C19" i="2"/>
  <c r="C20" i="2"/>
  <c r="C21" i="2"/>
  <c r="D21" i="2" s="1"/>
  <c r="F21" i="2" s="1"/>
  <c r="C22" i="2"/>
  <c r="C23" i="2"/>
  <c r="C24" i="2"/>
  <c r="C25" i="2"/>
  <c r="D25" i="2" s="1"/>
  <c r="F25" i="2" s="1"/>
  <c r="C26" i="2"/>
  <c r="D26" i="2" s="1"/>
  <c r="C27" i="2"/>
  <c r="C28" i="2"/>
  <c r="C29" i="2"/>
  <c r="D29" i="2" s="1"/>
  <c r="F29" i="2" s="1"/>
  <c r="C30" i="2"/>
  <c r="C31" i="2"/>
  <c r="C32" i="2"/>
  <c r="C33" i="2"/>
  <c r="D33" i="2" s="1"/>
  <c r="F33" i="2" s="1"/>
  <c r="C34" i="2"/>
  <c r="D34" i="2" s="1"/>
  <c r="C35" i="2"/>
  <c r="C36" i="2"/>
  <c r="C37" i="2"/>
  <c r="D37" i="2" s="1"/>
  <c r="F37" i="2" s="1"/>
  <c r="C38" i="2"/>
  <c r="C39" i="2"/>
  <c r="C40" i="2"/>
  <c r="C41" i="2"/>
  <c r="D41" i="2" s="1"/>
  <c r="F41" i="2" s="1"/>
  <c r="C42" i="2"/>
  <c r="D42" i="2" s="1"/>
  <c r="C43" i="2"/>
  <c r="C44" i="2"/>
  <c r="C45" i="2"/>
  <c r="D45" i="2" s="1"/>
  <c r="F45" i="2" s="1"/>
  <c r="C46" i="2"/>
  <c r="C47" i="2"/>
  <c r="C48" i="2"/>
  <c r="C49" i="2"/>
  <c r="D49" i="2" s="1"/>
  <c r="F49" i="2" s="1"/>
  <c r="C50" i="2"/>
  <c r="D50" i="2" s="1"/>
  <c r="C51" i="2"/>
  <c r="C52" i="2"/>
  <c r="C53" i="2"/>
  <c r="D53" i="2" s="1"/>
  <c r="F53" i="2" s="1"/>
  <c r="C54" i="2"/>
  <c r="C55" i="2"/>
  <c r="C56" i="2"/>
  <c r="C57" i="2"/>
  <c r="D57" i="2" s="1"/>
  <c r="F57" i="2" s="1"/>
  <c r="C58" i="2"/>
  <c r="D58" i="2" s="1"/>
  <c r="C59" i="2"/>
  <c r="C60" i="2"/>
  <c r="C61" i="2"/>
  <c r="D61" i="2" s="1"/>
  <c r="F61" i="2" s="1"/>
  <c r="C62" i="2"/>
  <c r="C63" i="2"/>
  <c r="C64" i="2"/>
  <c r="C65" i="2"/>
  <c r="D65" i="2" s="1"/>
  <c r="F65" i="2" s="1"/>
  <c r="C66" i="2"/>
  <c r="D66" i="2" s="1"/>
  <c r="C67" i="2"/>
  <c r="C68" i="2"/>
  <c r="C69" i="2"/>
  <c r="D69" i="2" s="1"/>
  <c r="F69" i="2" s="1"/>
  <c r="C70" i="2"/>
  <c r="C71" i="2"/>
  <c r="C72" i="2"/>
  <c r="C73" i="2"/>
  <c r="D73" i="2" s="1"/>
  <c r="F73" i="2" s="1"/>
  <c r="C74" i="2"/>
  <c r="C75" i="2"/>
  <c r="C76" i="2"/>
  <c r="C77" i="2"/>
  <c r="D77" i="2" s="1"/>
  <c r="F77" i="2" s="1"/>
  <c r="C78" i="2"/>
  <c r="C79" i="2"/>
  <c r="C80" i="2"/>
  <c r="C81" i="2"/>
  <c r="D81" i="2" s="1"/>
  <c r="F81" i="2" s="1"/>
  <c r="C82" i="2"/>
  <c r="C83" i="2"/>
  <c r="C84" i="2"/>
  <c r="C85" i="2"/>
  <c r="D85" i="2" s="1"/>
  <c r="F85" i="2" s="1"/>
  <c r="C86" i="2"/>
  <c r="C87" i="2"/>
  <c r="C88" i="2"/>
  <c r="C89" i="2"/>
  <c r="D89" i="2" s="1"/>
  <c r="F89" i="2" s="1"/>
  <c r="C90" i="2"/>
  <c r="C91" i="2"/>
  <c r="C92" i="2"/>
  <c r="D92" i="2" s="1"/>
  <c r="C93" i="2"/>
  <c r="C94" i="2"/>
  <c r="C95" i="2"/>
  <c r="C96" i="2"/>
  <c r="C97" i="2"/>
  <c r="D97" i="2" s="1"/>
  <c r="F97" i="2" s="1"/>
  <c r="C98" i="2"/>
  <c r="D98" i="2" s="1"/>
  <c r="C99" i="2"/>
  <c r="C100" i="2"/>
  <c r="D100" i="2" s="1"/>
  <c r="C101" i="2"/>
  <c r="C102" i="2"/>
  <c r="C103" i="2"/>
  <c r="C104" i="2"/>
  <c r="C105" i="2"/>
  <c r="D105" i="2" s="1"/>
  <c r="F105" i="2" s="1"/>
  <c r="C106" i="2"/>
  <c r="C107" i="2"/>
  <c r="C108" i="2"/>
  <c r="D108" i="2" s="1"/>
  <c r="C109" i="2"/>
  <c r="D109" i="2" s="1"/>
  <c r="F109" i="2" s="1"/>
  <c r="C110" i="2"/>
  <c r="C111" i="2"/>
  <c r="D111" i="2" s="1"/>
  <c r="F111" i="2" s="1"/>
  <c r="C112" i="2"/>
  <c r="D112" i="2" s="1"/>
  <c r="C113" i="2"/>
  <c r="D113" i="2" s="1"/>
  <c r="F113" i="2" s="1"/>
  <c r="C114" i="2"/>
  <c r="C115" i="2"/>
  <c r="C116" i="2"/>
  <c r="C117" i="2"/>
  <c r="D117" i="2" s="1"/>
  <c r="F117" i="2" s="1"/>
  <c r="C118" i="2"/>
  <c r="C119" i="2"/>
  <c r="C120" i="2"/>
  <c r="C121" i="2"/>
  <c r="C122" i="2"/>
  <c r="D122" i="2" s="1"/>
  <c r="C123" i="2"/>
  <c r="D123" i="2" s="1"/>
  <c r="C124" i="2"/>
  <c r="C125" i="2"/>
  <c r="D125" i="2" s="1"/>
  <c r="F125" i="2" s="1"/>
  <c r="C126" i="2"/>
  <c r="C127" i="2"/>
  <c r="C128" i="2"/>
  <c r="C129" i="2"/>
  <c r="D129" i="2" s="1"/>
  <c r="F129" i="2" s="1"/>
  <c r="C130" i="2"/>
  <c r="C131" i="2"/>
  <c r="C132" i="2"/>
  <c r="C133" i="2"/>
  <c r="D133" i="2" s="1"/>
  <c r="F133" i="2" s="1"/>
  <c r="C134" i="2"/>
  <c r="C135" i="2"/>
  <c r="C136" i="2"/>
  <c r="C137" i="2"/>
  <c r="D137" i="2" s="1"/>
  <c r="F137" i="2" s="1"/>
  <c r="C138" i="2"/>
  <c r="D138" i="2" s="1"/>
  <c r="C139" i="2"/>
  <c r="C140" i="2"/>
  <c r="C141" i="2"/>
  <c r="D141" i="2" s="1"/>
  <c r="F141" i="2" s="1"/>
  <c r="C142" i="2"/>
  <c r="C143" i="2"/>
  <c r="C144" i="2"/>
  <c r="C145" i="2"/>
  <c r="C146" i="2"/>
  <c r="D146" i="2" s="1"/>
  <c r="C147" i="2"/>
  <c r="D147" i="2" s="1"/>
  <c r="C148" i="2"/>
  <c r="C149" i="2"/>
  <c r="D149" i="2" s="1"/>
  <c r="F149" i="2" s="1"/>
  <c r="C150" i="2"/>
  <c r="C151" i="2"/>
  <c r="C152" i="2"/>
  <c r="D152" i="2" s="1"/>
  <c r="C153" i="2"/>
  <c r="D153" i="2" s="1"/>
  <c r="F153" i="2" s="1"/>
  <c r="C154" i="2"/>
  <c r="C155" i="2"/>
  <c r="C156" i="2"/>
  <c r="C157" i="2"/>
  <c r="D157" i="2" s="1"/>
  <c r="C158" i="2"/>
  <c r="C159" i="2"/>
  <c r="C160" i="2"/>
  <c r="C161" i="2"/>
  <c r="D161" i="2" s="1"/>
  <c r="F161" i="2" s="1"/>
  <c r="C162" i="2"/>
  <c r="D162" i="2" s="1"/>
  <c r="C163" i="2"/>
  <c r="C164" i="2"/>
  <c r="D164" i="2" s="1"/>
  <c r="C165" i="2"/>
  <c r="D165" i="2" s="1"/>
  <c r="F165" i="2" s="1"/>
  <c r="C166" i="2"/>
  <c r="C167" i="2"/>
  <c r="D167" i="2" s="1"/>
  <c r="F167" i="2" s="1"/>
  <c r="C168" i="2"/>
  <c r="C169" i="2"/>
  <c r="D169" i="2" s="1"/>
  <c r="F169" i="2" s="1"/>
  <c r="C170" i="2"/>
  <c r="C171" i="2"/>
  <c r="C172" i="2"/>
  <c r="D172" i="2" s="1"/>
  <c r="C173" i="2"/>
  <c r="D173" i="2" s="1"/>
  <c r="F173" i="2" s="1"/>
  <c r="C174" i="2"/>
  <c r="C175" i="2"/>
  <c r="C176" i="2"/>
  <c r="D176" i="2" s="1"/>
  <c r="C177" i="2"/>
  <c r="D177" i="2" s="1"/>
  <c r="F177" i="2" s="1"/>
  <c r="C178" i="2"/>
  <c r="C179" i="2"/>
  <c r="C180" i="2"/>
  <c r="D180" i="2" s="1"/>
  <c r="C181" i="2"/>
  <c r="C182" i="2"/>
  <c r="C183" i="2"/>
  <c r="C184" i="2"/>
  <c r="D184" i="2" s="1"/>
  <c r="C185" i="2"/>
  <c r="D185" i="2" s="1"/>
  <c r="F185" i="2" s="1"/>
  <c r="C186" i="2"/>
  <c r="C187" i="2"/>
  <c r="C188" i="2"/>
  <c r="C189" i="2"/>
  <c r="D189" i="2" s="1"/>
  <c r="F189" i="2" s="1"/>
  <c r="C190" i="2"/>
  <c r="C191" i="2"/>
  <c r="C192" i="2"/>
  <c r="C193" i="2"/>
  <c r="D193" i="2" s="1"/>
  <c r="F193" i="2" s="1"/>
  <c r="C194" i="2"/>
  <c r="D194" i="2" s="1"/>
  <c r="F194" i="2" s="1"/>
  <c r="C195" i="2"/>
  <c r="C196" i="2"/>
  <c r="C197" i="2"/>
  <c r="D197" i="2" s="1"/>
  <c r="F197" i="2" s="1"/>
  <c r="C198" i="2"/>
  <c r="C199" i="2"/>
  <c r="C200" i="2"/>
  <c r="C201" i="2"/>
  <c r="D201" i="2" s="1"/>
  <c r="C202" i="2"/>
  <c r="C203" i="2"/>
  <c r="C204" i="2"/>
  <c r="C205" i="2"/>
  <c r="D205" i="2" s="1"/>
  <c r="F205" i="2" s="1"/>
  <c r="C206" i="2"/>
  <c r="C207" i="2"/>
  <c r="D207" i="2" s="1"/>
  <c r="F207" i="2" s="1"/>
  <c r="C208" i="2"/>
  <c r="C209" i="2"/>
  <c r="D209" i="2" s="1"/>
  <c r="F209" i="2" s="1"/>
  <c r="C210" i="2"/>
  <c r="D210" i="2" s="1"/>
  <c r="F210" i="2" s="1"/>
  <c r="C211" i="2"/>
  <c r="C212" i="2"/>
  <c r="C213" i="2"/>
  <c r="D213" i="2" s="1"/>
  <c r="F213" i="2" s="1"/>
  <c r="C214" i="2"/>
  <c r="C215" i="2"/>
  <c r="C216" i="2"/>
  <c r="C217" i="2"/>
  <c r="D217" i="2" s="1"/>
  <c r="C218" i="2"/>
  <c r="C219" i="2"/>
  <c r="C220" i="2"/>
  <c r="C221" i="2"/>
  <c r="D221" i="2" s="1"/>
  <c r="F221" i="2" s="1"/>
  <c r="C222" i="2"/>
  <c r="C223" i="2"/>
  <c r="D223" i="2" s="1"/>
  <c r="F223" i="2" s="1"/>
  <c r="C224" i="2"/>
  <c r="C225" i="2"/>
  <c r="D225" i="2" s="1"/>
  <c r="F225" i="2" s="1"/>
  <c r="C226" i="2"/>
  <c r="D226" i="2" s="1"/>
  <c r="F226" i="2" s="1"/>
  <c r="C227" i="2"/>
  <c r="C228" i="2"/>
  <c r="C229" i="2"/>
  <c r="D229" i="2" s="1"/>
  <c r="F229" i="2" s="1"/>
  <c r="C230" i="2"/>
  <c r="C231" i="2"/>
  <c r="C232" i="2"/>
  <c r="C233" i="2"/>
  <c r="D233" i="2" s="1"/>
  <c r="C234" i="2"/>
  <c r="C235" i="2"/>
  <c r="C236" i="2"/>
  <c r="C237" i="2"/>
  <c r="D237" i="2" s="1"/>
  <c r="F237" i="2" s="1"/>
  <c r="C238" i="2"/>
  <c r="C239" i="2"/>
  <c r="D239" i="2" s="1"/>
  <c r="F239" i="2" s="1"/>
  <c r="C240" i="2"/>
  <c r="C241" i="2"/>
  <c r="D241" i="2" s="1"/>
  <c r="F241" i="2" s="1"/>
  <c r="C242" i="2"/>
  <c r="D242" i="2" s="1"/>
  <c r="F242" i="2" s="1"/>
  <c r="C243" i="2"/>
  <c r="C244" i="2"/>
  <c r="C245" i="2"/>
  <c r="D245" i="2" s="1"/>
  <c r="F245" i="2" s="1"/>
  <c r="C246" i="2"/>
  <c r="C247" i="2"/>
  <c r="C248" i="2"/>
  <c r="C249" i="2"/>
  <c r="D249" i="2" s="1"/>
  <c r="C250" i="2"/>
  <c r="C251" i="2"/>
  <c r="C252" i="2"/>
  <c r="C253" i="2"/>
  <c r="D253" i="2" s="1"/>
  <c r="F253" i="2" s="1"/>
  <c r="C254" i="2"/>
  <c r="C255" i="2"/>
  <c r="D255" i="2" s="1"/>
  <c r="F255" i="2" s="1"/>
  <c r="C256" i="2"/>
  <c r="C257" i="2"/>
  <c r="D257" i="2" s="1"/>
  <c r="F257" i="2" s="1"/>
  <c r="C258" i="2"/>
  <c r="D258" i="2" s="1"/>
  <c r="F258" i="2" s="1"/>
  <c r="C259" i="2"/>
  <c r="C260" i="2"/>
  <c r="D260" i="2" s="1"/>
  <c r="C261" i="2"/>
  <c r="D261" i="2" s="1"/>
  <c r="F261" i="2" s="1"/>
  <c r="C262" i="2"/>
  <c r="C263" i="2"/>
  <c r="D263" i="2" s="1"/>
  <c r="F263" i="2" s="1"/>
  <c r="C264" i="2"/>
  <c r="C265" i="2"/>
  <c r="D265" i="2" s="1"/>
  <c r="F265" i="2" s="1"/>
  <c r="C266" i="2"/>
  <c r="D266" i="2" s="1"/>
  <c r="F266" i="2" s="1"/>
  <c r="C267" i="2"/>
  <c r="D267" i="2" s="1"/>
  <c r="F267" i="2" s="1"/>
  <c r="C268" i="2"/>
  <c r="C269" i="2"/>
  <c r="D269" i="2" s="1"/>
  <c r="F269" i="2" s="1"/>
  <c r="C270" i="2"/>
  <c r="C271" i="2"/>
  <c r="C272" i="2"/>
  <c r="C273" i="2"/>
  <c r="D273" i="2" s="1"/>
  <c r="F273" i="2" s="1"/>
  <c r="C274" i="2"/>
  <c r="D274" i="2" s="1"/>
  <c r="F274" i="2" s="1"/>
  <c r="C275" i="2"/>
  <c r="C276" i="2"/>
  <c r="C277" i="2"/>
  <c r="C278" i="2"/>
  <c r="D278" i="2" s="1"/>
  <c r="C279" i="2"/>
  <c r="C280" i="2"/>
  <c r="C281" i="2"/>
  <c r="D281" i="2" s="1"/>
  <c r="F281" i="2" s="1"/>
  <c r="C282" i="2"/>
  <c r="D282" i="2" s="1"/>
  <c r="C283" i="2"/>
  <c r="D283" i="2" s="1"/>
  <c r="F283" i="2" s="1"/>
  <c r="C284" i="2"/>
  <c r="D284" i="2" s="1"/>
  <c r="F284" i="2" s="1"/>
  <c r="C285" i="2"/>
  <c r="D285" i="2" s="1"/>
  <c r="F285" i="2" s="1"/>
  <c r="C286" i="2"/>
  <c r="D286" i="2" s="1"/>
  <c r="C287" i="2"/>
  <c r="D287" i="2" s="1"/>
  <c r="F287" i="2" s="1"/>
  <c r="C288" i="2"/>
  <c r="C289" i="2"/>
  <c r="D289" i="2" s="1"/>
  <c r="F289" i="2" s="1"/>
  <c r="C290" i="2"/>
  <c r="D290" i="2" s="1"/>
  <c r="F290" i="2" s="1"/>
  <c r="C291" i="2"/>
  <c r="C292" i="2"/>
  <c r="C293" i="2"/>
  <c r="C294" i="2"/>
  <c r="D294" i="2" s="1"/>
  <c r="C295" i="2"/>
  <c r="C296" i="2"/>
  <c r="C297" i="2"/>
  <c r="D297" i="2" s="1"/>
  <c r="F297" i="2" s="1"/>
  <c r="C298" i="2"/>
  <c r="D298" i="2" s="1"/>
  <c r="C299" i="2"/>
  <c r="D299" i="2" s="1"/>
  <c r="F299" i="2" s="1"/>
  <c r="C300" i="2"/>
  <c r="D300" i="2" s="1"/>
  <c r="F300" i="2" s="1"/>
  <c r="C301" i="2"/>
  <c r="D301" i="2" s="1"/>
  <c r="F301" i="2" s="1"/>
  <c r="C302" i="2"/>
  <c r="D302" i="2" s="1"/>
  <c r="C303" i="2"/>
  <c r="D303" i="2" s="1"/>
  <c r="F303" i="2" s="1"/>
  <c r="C304" i="2"/>
  <c r="C305" i="2"/>
  <c r="D305" i="2" s="1"/>
  <c r="F305" i="2" s="1"/>
  <c r="C306" i="2"/>
  <c r="D306" i="2" s="1"/>
  <c r="F306" i="2" s="1"/>
  <c r="C307" i="2"/>
  <c r="C308" i="2"/>
  <c r="D308" i="2" s="1"/>
  <c r="F308" i="2" s="1"/>
  <c r="C309" i="2"/>
  <c r="C310" i="2"/>
  <c r="D310" i="2" s="1"/>
  <c r="C311" i="2"/>
  <c r="D311" i="2" s="1"/>
  <c r="F311" i="2" s="1"/>
  <c r="C312" i="2"/>
  <c r="D312" i="2" s="1"/>
  <c r="F312" i="2" s="1"/>
  <c r="C313" i="2"/>
  <c r="D313" i="2" s="1"/>
  <c r="F313" i="2" s="1"/>
  <c r="C314" i="2"/>
  <c r="D314" i="2" s="1"/>
  <c r="C315" i="2"/>
  <c r="C316" i="2"/>
  <c r="D316" i="2" s="1"/>
  <c r="F316" i="2" s="1"/>
  <c r="C317" i="2"/>
  <c r="D317" i="2" s="1"/>
  <c r="F317" i="2" s="1"/>
  <c r="C318" i="2"/>
  <c r="D318" i="2" s="1"/>
  <c r="C319" i="2"/>
  <c r="D319" i="2" s="1"/>
  <c r="F319" i="2" s="1"/>
  <c r="C320" i="2"/>
  <c r="D320" i="2" s="1"/>
  <c r="F320" i="2" s="1"/>
  <c r="C321" i="2"/>
  <c r="D321" i="2" s="1"/>
  <c r="F321" i="2" s="1"/>
  <c r="C322" i="2"/>
  <c r="D322" i="2" s="1"/>
  <c r="F322" i="2" s="1"/>
  <c r="C323" i="2"/>
  <c r="C324" i="2"/>
  <c r="D324" i="2" s="1"/>
  <c r="F324" i="2" s="1"/>
  <c r="C325" i="2"/>
  <c r="C326" i="2"/>
  <c r="D326" i="2" s="1"/>
  <c r="C327" i="2"/>
  <c r="D327" i="2" s="1"/>
  <c r="F327" i="2" s="1"/>
  <c r="C328" i="2"/>
  <c r="D328" i="2" s="1"/>
  <c r="F328" i="2" s="1"/>
  <c r="C329" i="2"/>
  <c r="D329" i="2" s="1"/>
  <c r="F329" i="2" s="1"/>
  <c r="C330" i="2"/>
  <c r="D330" i="2" s="1"/>
  <c r="C331" i="2"/>
  <c r="C332" i="2"/>
  <c r="D332" i="2" s="1"/>
  <c r="F332" i="2" s="1"/>
  <c r="C333" i="2"/>
  <c r="D333" i="2" s="1"/>
  <c r="F333" i="2" s="1"/>
  <c r="C334" i="2"/>
  <c r="D334" i="2" s="1"/>
  <c r="C335" i="2"/>
  <c r="D335" i="2" s="1"/>
  <c r="F335" i="2" s="1"/>
  <c r="C336" i="2"/>
  <c r="D336" i="2" s="1"/>
  <c r="F336" i="2" s="1"/>
  <c r="C337" i="2"/>
  <c r="D337" i="2" s="1"/>
  <c r="F337" i="2" s="1"/>
  <c r="C338" i="2"/>
  <c r="D338" i="2" s="1"/>
  <c r="F338" i="2" s="1"/>
  <c r="C339" i="2"/>
  <c r="D339" i="2" s="1"/>
  <c r="F339" i="2" s="1"/>
  <c r="C340" i="2"/>
  <c r="D340" i="2" s="1"/>
  <c r="F340" i="2" s="1"/>
  <c r="C341" i="2"/>
  <c r="C342" i="2"/>
  <c r="D342" i="2" s="1"/>
  <c r="C343" i="2"/>
  <c r="C344" i="2"/>
  <c r="C345" i="2"/>
  <c r="D345" i="2" s="1"/>
  <c r="F345" i="2" s="1"/>
  <c r="C346" i="2"/>
  <c r="D346" i="2" s="1"/>
  <c r="F346" i="2" s="1"/>
  <c r="C347" i="2"/>
  <c r="D347" i="2" s="1"/>
  <c r="F347" i="2" s="1"/>
  <c r="C348" i="2"/>
  <c r="D348" i="2" s="1"/>
  <c r="F348" i="2" s="1"/>
  <c r="C349" i="2"/>
  <c r="D349" i="2" s="1"/>
  <c r="F349" i="2" s="1"/>
  <c r="C350" i="2"/>
  <c r="D350" i="2" s="1"/>
  <c r="C351" i="2"/>
  <c r="D351" i="2" s="1"/>
  <c r="F351" i="2" s="1"/>
  <c r="C352" i="2"/>
  <c r="C353" i="2"/>
  <c r="D353" i="2" s="1"/>
  <c r="F353" i="2" s="1"/>
  <c r="C354" i="2"/>
  <c r="D354" i="2" s="1"/>
  <c r="F354" i="2" s="1"/>
  <c r="C355" i="2"/>
  <c r="C356" i="2"/>
  <c r="D356" i="2" s="1"/>
  <c r="F356" i="2" s="1"/>
  <c r="C357" i="2"/>
  <c r="C358" i="2"/>
  <c r="D358" i="2" s="1"/>
  <c r="C359" i="2"/>
  <c r="C360" i="2"/>
  <c r="C361" i="2"/>
  <c r="D361" i="2" s="1"/>
  <c r="F361" i="2" s="1"/>
  <c r="C362" i="2"/>
  <c r="D362" i="2" s="1"/>
  <c r="F362" i="2" s="1"/>
  <c r="C363" i="2"/>
  <c r="C364" i="2"/>
  <c r="D364" i="2" s="1"/>
  <c r="F364" i="2" s="1"/>
  <c r="C365" i="2"/>
  <c r="D365" i="2" s="1"/>
  <c r="F365" i="2" s="1"/>
  <c r="C366" i="2"/>
  <c r="D366" i="2" s="1"/>
  <c r="C367" i="2"/>
  <c r="D367" i="2" s="1"/>
  <c r="F367" i="2" s="1"/>
  <c r="C368" i="2"/>
  <c r="C369" i="2"/>
  <c r="D369" i="2" s="1"/>
  <c r="F369" i="2" s="1"/>
  <c r="C370" i="2"/>
  <c r="D370" i="2" s="1"/>
  <c r="F370" i="2" s="1"/>
  <c r="C371" i="2"/>
  <c r="D371" i="2" s="1"/>
  <c r="F371" i="2" s="1"/>
  <c r="C372" i="2"/>
  <c r="D372" i="2" s="1"/>
  <c r="F372" i="2" s="1"/>
  <c r="C373" i="2"/>
  <c r="C374" i="2"/>
  <c r="D374" i="2" s="1"/>
  <c r="C375" i="2"/>
  <c r="D375" i="2" s="1"/>
  <c r="F375" i="2" s="1"/>
  <c r="C376" i="2"/>
  <c r="C377" i="2"/>
  <c r="D377" i="2" s="1"/>
  <c r="F377" i="2" s="1"/>
  <c r="C378" i="2"/>
  <c r="D378" i="2" s="1"/>
  <c r="F378" i="2" s="1"/>
  <c r="C379" i="2"/>
  <c r="C380" i="2"/>
  <c r="D380" i="2" s="1"/>
  <c r="F380" i="2" s="1"/>
  <c r="C381" i="2"/>
  <c r="D381" i="2" s="1"/>
  <c r="F381" i="2" s="1"/>
  <c r="C2" i="2"/>
  <c r="G4" i="1"/>
  <c r="G5" i="1"/>
  <c r="E5" i="1"/>
  <c r="E3" i="1"/>
  <c r="E4" i="1"/>
  <c r="E2" i="1"/>
  <c r="D277" i="2"/>
  <c r="F277" i="2" s="1"/>
  <c r="F278" i="2"/>
  <c r="D279" i="2"/>
  <c r="F279" i="2" s="1"/>
  <c r="D280" i="2"/>
  <c r="F280" i="2"/>
  <c r="F282" i="2"/>
  <c r="F286" i="2"/>
  <c r="D288" i="2"/>
  <c r="F288" i="2" s="1"/>
  <c r="D291" i="2"/>
  <c r="F291" i="2" s="1"/>
  <c r="D292" i="2"/>
  <c r="F292" i="2" s="1"/>
  <c r="D293" i="2"/>
  <c r="F293" i="2" s="1"/>
  <c r="F294" i="2"/>
  <c r="D295" i="2"/>
  <c r="F295" i="2" s="1"/>
  <c r="D296" i="2"/>
  <c r="F296" i="2"/>
  <c r="F298" i="2"/>
  <c r="F302" i="2"/>
  <c r="D304" i="2"/>
  <c r="F304" i="2" s="1"/>
  <c r="D307" i="2"/>
  <c r="F307" i="2" s="1"/>
  <c r="D309" i="2"/>
  <c r="F309" i="2" s="1"/>
  <c r="F310" i="2"/>
  <c r="F314" i="2"/>
  <c r="D315" i="2"/>
  <c r="F315" i="2" s="1"/>
  <c r="F318" i="2"/>
  <c r="D323" i="2"/>
  <c r="F323" i="2" s="1"/>
  <c r="D325" i="2"/>
  <c r="F325" i="2" s="1"/>
  <c r="F326" i="2"/>
  <c r="F330" i="2"/>
  <c r="D331" i="2"/>
  <c r="F331" i="2" s="1"/>
  <c r="F334" i="2"/>
  <c r="D341" i="2"/>
  <c r="F341" i="2" s="1"/>
  <c r="F342" i="2"/>
  <c r="D343" i="2"/>
  <c r="F343" i="2" s="1"/>
  <c r="D344" i="2"/>
  <c r="F344" i="2" s="1"/>
  <c r="F350" i="2"/>
  <c r="D352" i="2"/>
  <c r="F352" i="2" s="1"/>
  <c r="D355" i="2"/>
  <c r="F355" i="2" s="1"/>
  <c r="D357" i="2"/>
  <c r="F357" i="2" s="1"/>
  <c r="F358" i="2"/>
  <c r="D359" i="2"/>
  <c r="F359" i="2" s="1"/>
  <c r="D360" i="2"/>
  <c r="F360" i="2"/>
  <c r="D363" i="2"/>
  <c r="F363" i="2" s="1"/>
  <c r="F366" i="2"/>
  <c r="D368" i="2"/>
  <c r="F368" i="2" s="1"/>
  <c r="D373" i="2"/>
  <c r="F373" i="2" s="1"/>
  <c r="F374" i="2"/>
  <c r="D376" i="2"/>
  <c r="F376" i="2" s="1"/>
  <c r="D379" i="2"/>
  <c r="F379" i="2" s="1"/>
  <c r="D262" i="2"/>
  <c r="F262" i="2" s="1"/>
  <c r="D264" i="2"/>
  <c r="F264" i="2" s="1"/>
  <c r="D268" i="2"/>
  <c r="F268" i="2" s="1"/>
  <c r="D270" i="2"/>
  <c r="F270" i="2" s="1"/>
  <c r="D271" i="2"/>
  <c r="F271" i="2" s="1"/>
  <c r="D272" i="2"/>
  <c r="F272" i="2" s="1"/>
  <c r="D275" i="2"/>
  <c r="F275" i="2" s="1"/>
  <c r="D276" i="2"/>
  <c r="F276" i="2" s="1"/>
  <c r="F260" i="2"/>
  <c r="D186" i="2"/>
  <c r="F186" i="2" s="1"/>
  <c r="D187" i="2"/>
  <c r="F187" i="2" s="1"/>
  <c r="D188" i="2"/>
  <c r="F188" i="2" s="1"/>
  <c r="D190" i="2"/>
  <c r="F190" i="2"/>
  <c r="D191" i="2"/>
  <c r="F191" i="2"/>
  <c r="D192" i="2"/>
  <c r="F192" i="2" s="1"/>
  <c r="D195" i="2"/>
  <c r="F195" i="2" s="1"/>
  <c r="D196" i="2"/>
  <c r="F196" i="2" s="1"/>
  <c r="D198" i="2"/>
  <c r="F198" i="2" s="1"/>
  <c r="D199" i="2"/>
  <c r="F199" i="2" s="1"/>
  <c r="D200" i="2"/>
  <c r="F200" i="2" s="1"/>
  <c r="F201" i="2"/>
  <c r="D202" i="2"/>
  <c r="F202" i="2" s="1"/>
  <c r="D203" i="2"/>
  <c r="F203" i="2" s="1"/>
  <c r="D204" i="2"/>
  <c r="F204" i="2" s="1"/>
  <c r="D206" i="2"/>
  <c r="F206" i="2"/>
  <c r="D208" i="2"/>
  <c r="F208" i="2" s="1"/>
  <c r="D211" i="2"/>
  <c r="F211" i="2" s="1"/>
  <c r="D212" i="2"/>
  <c r="F212" i="2" s="1"/>
  <c r="D214" i="2"/>
  <c r="F214" i="2" s="1"/>
  <c r="D215" i="2"/>
  <c r="F215" i="2" s="1"/>
  <c r="D216" i="2"/>
  <c r="F216" i="2" s="1"/>
  <c r="F217" i="2"/>
  <c r="D218" i="2"/>
  <c r="F218" i="2" s="1"/>
  <c r="D219" i="2"/>
  <c r="F219" i="2" s="1"/>
  <c r="D220" i="2"/>
  <c r="F220" i="2" s="1"/>
  <c r="D222" i="2"/>
  <c r="F222" i="2"/>
  <c r="D224" i="2"/>
  <c r="F224" i="2" s="1"/>
  <c r="D227" i="2"/>
  <c r="F227" i="2" s="1"/>
  <c r="D228" i="2"/>
  <c r="F228" i="2" s="1"/>
  <c r="D230" i="2"/>
  <c r="F230" i="2" s="1"/>
  <c r="D231" i="2"/>
  <c r="F231" i="2" s="1"/>
  <c r="D232" i="2"/>
  <c r="F232" i="2" s="1"/>
  <c r="F233" i="2"/>
  <c r="D234" i="2"/>
  <c r="F234" i="2" s="1"/>
  <c r="D235" i="2"/>
  <c r="F235" i="2" s="1"/>
  <c r="D236" i="2"/>
  <c r="F236" i="2" s="1"/>
  <c r="D238" i="2"/>
  <c r="F238" i="2"/>
  <c r="D240" i="2"/>
  <c r="F240" i="2" s="1"/>
  <c r="D243" i="2"/>
  <c r="F243" i="2" s="1"/>
  <c r="D244" i="2"/>
  <c r="F244" i="2" s="1"/>
  <c r="D246" i="2"/>
  <c r="F246" i="2" s="1"/>
  <c r="D247" i="2"/>
  <c r="F247" i="2" s="1"/>
  <c r="D248" i="2"/>
  <c r="F248" i="2" s="1"/>
  <c r="F249" i="2"/>
  <c r="D250" i="2"/>
  <c r="F250" i="2" s="1"/>
  <c r="D251" i="2"/>
  <c r="F251" i="2" s="1"/>
  <c r="D252" i="2"/>
  <c r="F252" i="2" s="1"/>
  <c r="D254" i="2"/>
  <c r="F254" i="2"/>
  <c r="D256" i="2"/>
  <c r="F256" i="2" s="1"/>
  <c r="D259" i="2"/>
  <c r="F259" i="2" s="1"/>
  <c r="D179" i="2"/>
  <c r="F179" i="2" s="1"/>
  <c r="F180" i="2"/>
  <c r="D181" i="2"/>
  <c r="F181" i="2" s="1"/>
  <c r="D182" i="2"/>
  <c r="F182" i="2" s="1"/>
  <c r="D183" i="2"/>
  <c r="F183" i="2" s="1"/>
  <c r="F184" i="2"/>
  <c r="D79" i="2"/>
  <c r="F79" i="2" s="1"/>
  <c r="D82" i="2"/>
  <c r="F82" i="2" s="1"/>
  <c r="D87" i="2"/>
  <c r="F87" i="2" s="1"/>
  <c r="D91" i="2"/>
  <c r="F91" i="2" s="1"/>
  <c r="D96" i="2"/>
  <c r="F96" i="2" s="1"/>
  <c r="F100" i="2"/>
  <c r="D114" i="2"/>
  <c r="F114" i="2" s="1"/>
  <c r="D119" i="2"/>
  <c r="F119" i="2" s="1"/>
  <c r="F123" i="2"/>
  <c r="D128" i="2"/>
  <c r="F128" i="2" s="1"/>
  <c r="D132" i="2"/>
  <c r="F132" i="2" s="1"/>
  <c r="F146" i="2"/>
  <c r="D151" i="2"/>
  <c r="F151" i="2" s="1"/>
  <c r="D155" i="2"/>
  <c r="F155" i="2" s="1"/>
  <c r="D160" i="2"/>
  <c r="F160" i="2" s="1"/>
  <c r="F164" i="2"/>
  <c r="D178" i="2"/>
  <c r="F178" i="2"/>
  <c r="D80" i="2"/>
  <c r="F80" i="2" s="1"/>
  <c r="D83" i="2"/>
  <c r="F83" i="2"/>
  <c r="D84" i="2"/>
  <c r="F84" i="2" s="1"/>
  <c r="D86" i="2"/>
  <c r="F86" i="2" s="1"/>
  <c r="D88" i="2"/>
  <c r="F88" i="2" s="1"/>
  <c r="D90" i="2"/>
  <c r="F90" i="2" s="1"/>
  <c r="F92" i="2"/>
  <c r="D93" i="2"/>
  <c r="F93" i="2" s="1"/>
  <c r="D94" i="2"/>
  <c r="F94" i="2" s="1"/>
  <c r="D95" i="2"/>
  <c r="F95" i="2" s="1"/>
  <c r="F98" i="2"/>
  <c r="D99" i="2"/>
  <c r="F99" i="2" s="1"/>
  <c r="D101" i="2"/>
  <c r="F101" i="2" s="1"/>
  <c r="D102" i="2"/>
  <c r="F102" i="2" s="1"/>
  <c r="D103" i="2"/>
  <c r="F103" i="2"/>
  <c r="D104" i="2"/>
  <c r="F104" i="2" s="1"/>
  <c r="D106" i="2"/>
  <c r="F106" i="2" s="1"/>
  <c r="D107" i="2"/>
  <c r="F107" i="2" s="1"/>
  <c r="F108" i="2"/>
  <c r="D110" i="2"/>
  <c r="F110" i="2" s="1"/>
  <c r="F112" i="2"/>
  <c r="D115" i="2"/>
  <c r="F115" i="2" s="1"/>
  <c r="D116" i="2"/>
  <c r="F116" i="2" s="1"/>
  <c r="D118" i="2"/>
  <c r="F118" i="2" s="1"/>
  <c r="D120" i="2"/>
  <c r="F120" i="2" s="1"/>
  <c r="D121" i="2"/>
  <c r="F121" i="2" s="1"/>
  <c r="F122" i="2"/>
  <c r="D124" i="2"/>
  <c r="F124" i="2" s="1"/>
  <c r="D126" i="2"/>
  <c r="F126" i="2" s="1"/>
  <c r="D127" i="2"/>
  <c r="F127" i="2" s="1"/>
  <c r="D130" i="2"/>
  <c r="F130" i="2" s="1"/>
  <c r="D131" i="2"/>
  <c r="F131" i="2" s="1"/>
  <c r="D134" i="2"/>
  <c r="F134" i="2" s="1"/>
  <c r="D135" i="2"/>
  <c r="F135" i="2" s="1"/>
  <c r="D136" i="2"/>
  <c r="F136" i="2" s="1"/>
  <c r="F138" i="2"/>
  <c r="D139" i="2"/>
  <c r="F139" i="2" s="1"/>
  <c r="D140" i="2"/>
  <c r="F140" i="2" s="1"/>
  <c r="D142" i="2"/>
  <c r="F142" i="2" s="1"/>
  <c r="D143" i="2"/>
  <c r="F143" i="2" s="1"/>
  <c r="D144" i="2"/>
  <c r="F144" i="2" s="1"/>
  <c r="D145" i="2"/>
  <c r="F145" i="2" s="1"/>
  <c r="F147" i="2"/>
  <c r="D148" i="2"/>
  <c r="F148" i="2" s="1"/>
  <c r="D150" i="2"/>
  <c r="F150" i="2" s="1"/>
  <c r="F152" i="2"/>
  <c r="D154" i="2"/>
  <c r="F154" i="2" s="1"/>
  <c r="D156" i="2"/>
  <c r="F156" i="2" s="1"/>
  <c r="F157" i="2"/>
  <c r="D158" i="2"/>
  <c r="F158" i="2" s="1"/>
  <c r="D159" i="2"/>
  <c r="F159" i="2" s="1"/>
  <c r="F162" i="2"/>
  <c r="D163" i="2"/>
  <c r="F163" i="2" s="1"/>
  <c r="D166" i="2"/>
  <c r="F166" i="2" s="1"/>
  <c r="D168" i="2"/>
  <c r="F168" i="2"/>
  <c r="D170" i="2"/>
  <c r="F170" i="2" s="1"/>
  <c r="D171" i="2"/>
  <c r="F171" i="2" s="1"/>
  <c r="F172" i="2"/>
  <c r="D174" i="2"/>
  <c r="F174" i="2" s="1"/>
  <c r="D175" i="2"/>
  <c r="F175" i="2" s="1"/>
  <c r="F176" i="2"/>
  <c r="D75" i="2"/>
  <c r="F75" i="2"/>
  <c r="D76" i="2"/>
  <c r="F76" i="2" s="1"/>
  <c r="D78" i="2"/>
  <c r="F78" i="2" s="1"/>
  <c r="D74" i="2"/>
  <c r="D72" i="2"/>
  <c r="F72" i="2" s="1"/>
  <c r="F74" i="2"/>
  <c r="D3" i="2"/>
  <c r="F3" i="2"/>
  <c r="D4" i="2"/>
  <c r="F4" i="2" s="1"/>
  <c r="D6" i="2"/>
  <c r="F6" i="2" s="1"/>
  <c r="D7" i="2"/>
  <c r="F7" i="2" s="1"/>
  <c r="D8" i="2"/>
  <c r="F8" i="2"/>
  <c r="F10" i="2"/>
  <c r="D11" i="2"/>
  <c r="F11" i="2" s="1"/>
  <c r="D12" i="2"/>
  <c r="F12" i="2" s="1"/>
  <c r="D13" i="2"/>
  <c r="F13" i="2" s="1"/>
  <c r="D14" i="2"/>
  <c r="F14" i="2"/>
  <c r="D15" i="2"/>
  <c r="F15" i="2" s="1"/>
  <c r="D16" i="2"/>
  <c r="F16" i="2"/>
  <c r="F18" i="2"/>
  <c r="D19" i="2"/>
  <c r="F19" i="2"/>
  <c r="D20" i="2"/>
  <c r="F20" i="2" s="1"/>
  <c r="D22" i="2"/>
  <c r="F22" i="2" s="1"/>
  <c r="D23" i="2"/>
  <c r="F23" i="2" s="1"/>
  <c r="D24" i="2"/>
  <c r="F24" i="2" s="1"/>
  <c r="F26" i="2"/>
  <c r="D27" i="2"/>
  <c r="F27" i="2" s="1"/>
  <c r="D28" i="2"/>
  <c r="F28" i="2"/>
  <c r="D30" i="2"/>
  <c r="F30" i="2"/>
  <c r="D31" i="2"/>
  <c r="F31" i="2" s="1"/>
  <c r="D32" i="2"/>
  <c r="F32" i="2" s="1"/>
  <c r="F34" i="2"/>
  <c r="D35" i="2"/>
  <c r="F35" i="2"/>
  <c r="D36" i="2"/>
  <c r="F36" i="2"/>
  <c r="D38" i="2"/>
  <c r="F38" i="2" s="1"/>
  <c r="D39" i="2"/>
  <c r="F39" i="2"/>
  <c r="D40" i="2"/>
  <c r="F40" i="2"/>
  <c r="F42" i="2"/>
  <c r="D43" i="2"/>
  <c r="F43" i="2" s="1"/>
  <c r="D44" i="2"/>
  <c r="F44" i="2" s="1"/>
  <c r="D46" i="2"/>
  <c r="F46" i="2"/>
  <c r="D47" i="2"/>
  <c r="F47" i="2" s="1"/>
  <c r="D48" i="2"/>
  <c r="F48" i="2" s="1"/>
  <c r="F50" i="2"/>
  <c r="D51" i="2"/>
  <c r="F51" i="2" s="1"/>
  <c r="D52" i="2"/>
  <c r="F52" i="2" s="1"/>
  <c r="D54" i="2"/>
  <c r="F54" i="2" s="1"/>
  <c r="D55" i="2"/>
  <c r="F55" i="2" s="1"/>
  <c r="D56" i="2"/>
  <c r="F56" i="2" s="1"/>
  <c r="F58" i="2"/>
  <c r="D59" i="2"/>
  <c r="F59" i="2"/>
  <c r="D60" i="2"/>
  <c r="F60" i="2" s="1"/>
  <c r="D62" i="2"/>
  <c r="F62" i="2" s="1"/>
  <c r="D63" i="2"/>
  <c r="F63" i="2" s="1"/>
  <c r="D64" i="2"/>
  <c r="F64" i="2" s="1"/>
  <c r="F66" i="2"/>
  <c r="D67" i="2"/>
  <c r="F67" i="2" s="1"/>
  <c r="D68" i="2"/>
  <c r="F68" i="2" s="1"/>
  <c r="D70" i="2"/>
  <c r="F70" i="2" s="1"/>
  <c r="D71" i="2"/>
  <c r="F71" i="2" s="1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<sst xmlns="http://schemas.openxmlformats.org/spreadsheetml/2006/main" count="25" uniqueCount="22">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</sst>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</cellXfs>
  <cellStyles count="2">
    <cellStyle name="百分比" xfId="1" builtinId="5"/>
    <cellStyle name="常规" xfId="0" builtinId="0"/>
  </cellStyles>
  <dxfs count="1"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净值记录!$A$2:$A$464</c:f>
              <c:numCache>
                <c:formatCode>m/d/yyyy</c:formatCode>
                <c:ptCount val="463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  <c:pt idx="258">
                  <c:v>43817</c:v>
                </c:pt>
                <c:pt idx="259">
                  <c:v>43818</c:v>
                </c:pt>
                <c:pt idx="260">
                  <c:v>43819</c:v>
                </c:pt>
                <c:pt idx="261">
                  <c:v>43822</c:v>
                </c:pt>
                <c:pt idx="262">
                  <c:v>43823</c:v>
                </c:pt>
                <c:pt idx="263">
                  <c:v>43824</c:v>
                </c:pt>
                <c:pt idx="264">
                  <c:v>43825</c:v>
                </c:pt>
                <c:pt idx="265">
                  <c:v>43826</c:v>
                </c:pt>
                <c:pt idx="266">
                  <c:v>43829</c:v>
                </c:pt>
                <c:pt idx="267">
                  <c:v>43830</c:v>
                </c:pt>
                <c:pt idx="268">
                  <c:v>43832</c:v>
                </c:pt>
                <c:pt idx="269">
                  <c:v>43833</c:v>
                </c:pt>
                <c:pt idx="270">
                  <c:v>43836</c:v>
                </c:pt>
                <c:pt idx="271">
                  <c:v>43837</c:v>
                </c:pt>
                <c:pt idx="272">
                  <c:v>43838</c:v>
                </c:pt>
                <c:pt idx="273">
                  <c:v>43839</c:v>
                </c:pt>
                <c:pt idx="274">
                  <c:v>43840</c:v>
                </c:pt>
                <c:pt idx="275">
                  <c:v>43843</c:v>
                </c:pt>
                <c:pt idx="276">
                  <c:v>43844</c:v>
                </c:pt>
                <c:pt idx="277">
                  <c:v>43845</c:v>
                </c:pt>
                <c:pt idx="278">
                  <c:v>43846</c:v>
                </c:pt>
                <c:pt idx="279">
                  <c:v>43847</c:v>
                </c:pt>
                <c:pt idx="280">
                  <c:v>43850</c:v>
                </c:pt>
                <c:pt idx="281">
                  <c:v>43851</c:v>
                </c:pt>
                <c:pt idx="282">
                  <c:v>43852</c:v>
                </c:pt>
                <c:pt idx="283">
                  <c:v>43853</c:v>
                </c:pt>
                <c:pt idx="284">
                  <c:v>43864</c:v>
                </c:pt>
                <c:pt idx="285">
                  <c:v>43865</c:v>
                </c:pt>
                <c:pt idx="286">
                  <c:v>43866</c:v>
                </c:pt>
                <c:pt idx="287">
                  <c:v>43867</c:v>
                </c:pt>
                <c:pt idx="288">
                  <c:v>43868</c:v>
                </c:pt>
                <c:pt idx="289">
                  <c:v>43871</c:v>
                </c:pt>
                <c:pt idx="290">
                  <c:v>43872</c:v>
                </c:pt>
                <c:pt idx="291">
                  <c:v>43873</c:v>
                </c:pt>
                <c:pt idx="292">
                  <c:v>43874</c:v>
                </c:pt>
                <c:pt idx="293">
                  <c:v>43875</c:v>
                </c:pt>
                <c:pt idx="294">
                  <c:v>43878</c:v>
                </c:pt>
                <c:pt idx="295">
                  <c:v>43879</c:v>
                </c:pt>
                <c:pt idx="296">
                  <c:v>43880</c:v>
                </c:pt>
                <c:pt idx="297">
                  <c:v>43881</c:v>
                </c:pt>
                <c:pt idx="298">
                  <c:v>43882</c:v>
                </c:pt>
                <c:pt idx="299">
                  <c:v>43885</c:v>
                </c:pt>
                <c:pt idx="300">
                  <c:v>43886</c:v>
                </c:pt>
                <c:pt idx="301">
                  <c:v>43887</c:v>
                </c:pt>
                <c:pt idx="302">
                  <c:v>43888</c:v>
                </c:pt>
                <c:pt idx="303">
                  <c:v>43889</c:v>
                </c:pt>
                <c:pt idx="304">
                  <c:v>43892</c:v>
                </c:pt>
                <c:pt idx="305">
                  <c:v>43893</c:v>
                </c:pt>
                <c:pt idx="306">
                  <c:v>43894</c:v>
                </c:pt>
                <c:pt idx="307">
                  <c:v>43895</c:v>
                </c:pt>
                <c:pt idx="308">
                  <c:v>43896</c:v>
                </c:pt>
                <c:pt idx="309">
                  <c:v>43899</c:v>
                </c:pt>
                <c:pt idx="310">
                  <c:v>43900</c:v>
                </c:pt>
                <c:pt idx="311">
                  <c:v>43901</c:v>
                </c:pt>
                <c:pt idx="312">
                  <c:v>43902</c:v>
                </c:pt>
                <c:pt idx="313">
                  <c:v>43903</c:v>
                </c:pt>
                <c:pt idx="314">
                  <c:v>43906</c:v>
                </c:pt>
                <c:pt idx="315">
                  <c:v>43907</c:v>
                </c:pt>
                <c:pt idx="316">
                  <c:v>43908</c:v>
                </c:pt>
                <c:pt idx="317">
                  <c:v>43909</c:v>
                </c:pt>
                <c:pt idx="318">
                  <c:v>43910</c:v>
                </c:pt>
                <c:pt idx="319">
                  <c:v>43913</c:v>
                </c:pt>
                <c:pt idx="320">
                  <c:v>43914</c:v>
                </c:pt>
                <c:pt idx="321">
                  <c:v>43915</c:v>
                </c:pt>
                <c:pt idx="322">
                  <c:v>43916</c:v>
                </c:pt>
                <c:pt idx="323">
                  <c:v>43917</c:v>
                </c:pt>
                <c:pt idx="324">
                  <c:v>43920</c:v>
                </c:pt>
                <c:pt idx="325">
                  <c:v>43921</c:v>
                </c:pt>
                <c:pt idx="326">
                  <c:v>43922</c:v>
                </c:pt>
                <c:pt idx="327">
                  <c:v>43923</c:v>
                </c:pt>
                <c:pt idx="328">
                  <c:v>43924</c:v>
                </c:pt>
                <c:pt idx="329">
                  <c:v>43928</c:v>
                </c:pt>
                <c:pt idx="330">
                  <c:v>43929</c:v>
                </c:pt>
                <c:pt idx="331">
                  <c:v>43930</c:v>
                </c:pt>
                <c:pt idx="332">
                  <c:v>43931</c:v>
                </c:pt>
                <c:pt idx="333">
                  <c:v>43934</c:v>
                </c:pt>
                <c:pt idx="334">
                  <c:v>43935</c:v>
                </c:pt>
                <c:pt idx="335">
                  <c:v>43936</c:v>
                </c:pt>
                <c:pt idx="336">
                  <c:v>43937</c:v>
                </c:pt>
                <c:pt idx="337">
                  <c:v>43938</c:v>
                </c:pt>
                <c:pt idx="338">
                  <c:v>43941</c:v>
                </c:pt>
                <c:pt idx="339">
                  <c:v>43942</c:v>
                </c:pt>
                <c:pt idx="340">
                  <c:v>43943</c:v>
                </c:pt>
                <c:pt idx="341">
                  <c:v>43944</c:v>
                </c:pt>
                <c:pt idx="342">
                  <c:v>43945</c:v>
                </c:pt>
                <c:pt idx="343">
                  <c:v>43948</c:v>
                </c:pt>
                <c:pt idx="344">
                  <c:v>43949</c:v>
                </c:pt>
                <c:pt idx="345">
                  <c:v>43950</c:v>
                </c:pt>
                <c:pt idx="346">
                  <c:v>43951</c:v>
                </c:pt>
                <c:pt idx="347">
                  <c:v>43957</c:v>
                </c:pt>
                <c:pt idx="348">
                  <c:v>43958</c:v>
                </c:pt>
                <c:pt idx="349">
                  <c:v>43959</c:v>
                </c:pt>
                <c:pt idx="350">
                  <c:v>43962</c:v>
                </c:pt>
                <c:pt idx="351">
                  <c:v>43963</c:v>
                </c:pt>
                <c:pt idx="352">
                  <c:v>43964</c:v>
                </c:pt>
                <c:pt idx="353">
                  <c:v>43965</c:v>
                </c:pt>
                <c:pt idx="354">
                  <c:v>43966</c:v>
                </c:pt>
                <c:pt idx="355">
                  <c:v>43969</c:v>
                </c:pt>
                <c:pt idx="356">
                  <c:v>43970</c:v>
                </c:pt>
                <c:pt idx="357">
                  <c:v>43971</c:v>
                </c:pt>
                <c:pt idx="358">
                  <c:v>43972</c:v>
                </c:pt>
                <c:pt idx="359">
                  <c:v>43973</c:v>
                </c:pt>
                <c:pt idx="360">
                  <c:v>43976</c:v>
                </c:pt>
                <c:pt idx="361">
                  <c:v>43977</c:v>
                </c:pt>
                <c:pt idx="362">
                  <c:v>43978</c:v>
                </c:pt>
                <c:pt idx="363">
                  <c:v>43979</c:v>
                </c:pt>
                <c:pt idx="364">
                  <c:v>43980</c:v>
                </c:pt>
                <c:pt idx="365">
                  <c:v>43983</c:v>
                </c:pt>
                <c:pt idx="366">
                  <c:v>43984</c:v>
                </c:pt>
                <c:pt idx="367">
                  <c:v>43985</c:v>
                </c:pt>
                <c:pt idx="368">
                  <c:v>43986</c:v>
                </c:pt>
                <c:pt idx="369">
                  <c:v>43987</c:v>
                </c:pt>
                <c:pt idx="370">
                  <c:v>43990</c:v>
                </c:pt>
                <c:pt idx="371">
                  <c:v>43991</c:v>
                </c:pt>
                <c:pt idx="372">
                  <c:v>43992</c:v>
                </c:pt>
                <c:pt idx="373">
                  <c:v>43993</c:v>
                </c:pt>
                <c:pt idx="374">
                  <c:v>43994</c:v>
                </c:pt>
                <c:pt idx="375">
                  <c:v>43997</c:v>
                </c:pt>
                <c:pt idx="376">
                  <c:v>43998</c:v>
                </c:pt>
                <c:pt idx="377">
                  <c:v>43999</c:v>
                </c:pt>
                <c:pt idx="378">
                  <c:v>44000</c:v>
                </c:pt>
                <c:pt idx="379">
                  <c:v>44001</c:v>
                </c:pt>
                <c:pt idx="380">
                  <c:v>44004</c:v>
                </c:pt>
                <c:pt idx="381">
                  <c:v>44005</c:v>
                </c:pt>
                <c:pt idx="382">
                  <c:v>44006</c:v>
                </c:pt>
                <c:pt idx="383">
                  <c:v>44011</c:v>
                </c:pt>
                <c:pt idx="384">
                  <c:v>44012</c:v>
                </c:pt>
                <c:pt idx="385">
                  <c:v>44013</c:v>
                </c:pt>
                <c:pt idx="386">
                  <c:v>44014</c:v>
                </c:pt>
                <c:pt idx="387">
                  <c:v>44015</c:v>
                </c:pt>
                <c:pt idx="388">
                  <c:v>44018</c:v>
                </c:pt>
                <c:pt idx="389">
                  <c:v>44019</c:v>
                </c:pt>
                <c:pt idx="390">
                  <c:v>44020</c:v>
                </c:pt>
                <c:pt idx="391">
                  <c:v>44021</c:v>
                </c:pt>
                <c:pt idx="392">
                  <c:v>44022</c:v>
                </c:pt>
                <c:pt idx="393">
                  <c:v>44025</c:v>
                </c:pt>
                <c:pt idx="394">
                  <c:v>44026</c:v>
                </c:pt>
                <c:pt idx="395">
                  <c:v>44027</c:v>
                </c:pt>
                <c:pt idx="396">
                  <c:v>44028</c:v>
                </c:pt>
                <c:pt idx="397">
                  <c:v>44029</c:v>
                </c:pt>
                <c:pt idx="398">
                  <c:v>44029</c:v>
                </c:pt>
                <c:pt idx="399">
                  <c:v>44032</c:v>
                </c:pt>
                <c:pt idx="400">
                  <c:v>44033</c:v>
                </c:pt>
                <c:pt idx="401">
                  <c:v>44034</c:v>
                </c:pt>
                <c:pt idx="402">
                  <c:v>44035</c:v>
                </c:pt>
                <c:pt idx="403">
                  <c:v>44036</c:v>
                </c:pt>
                <c:pt idx="404">
                  <c:v>44039</c:v>
                </c:pt>
                <c:pt idx="405">
                  <c:v>44040</c:v>
                </c:pt>
                <c:pt idx="406">
                  <c:v>44041</c:v>
                </c:pt>
                <c:pt idx="407">
                  <c:v>44042</c:v>
                </c:pt>
                <c:pt idx="408">
                  <c:v>44043</c:v>
                </c:pt>
                <c:pt idx="409">
                  <c:v>44046</c:v>
                </c:pt>
                <c:pt idx="410">
                  <c:v>44047</c:v>
                </c:pt>
                <c:pt idx="411">
                  <c:v>44048</c:v>
                </c:pt>
                <c:pt idx="412">
                  <c:v>44049</c:v>
                </c:pt>
                <c:pt idx="413">
                  <c:v>44050</c:v>
                </c:pt>
                <c:pt idx="414">
                  <c:v>44053</c:v>
                </c:pt>
                <c:pt idx="415">
                  <c:v>44054</c:v>
                </c:pt>
                <c:pt idx="416">
                  <c:v>44055</c:v>
                </c:pt>
                <c:pt idx="417">
                  <c:v>44056</c:v>
                </c:pt>
                <c:pt idx="418">
                  <c:v>44057</c:v>
                </c:pt>
                <c:pt idx="419">
                  <c:v>44060</c:v>
                </c:pt>
                <c:pt idx="420">
                  <c:v>44061</c:v>
                </c:pt>
                <c:pt idx="421">
                  <c:v>44062</c:v>
                </c:pt>
                <c:pt idx="422">
                  <c:v>44063</c:v>
                </c:pt>
                <c:pt idx="423">
                  <c:v>44064</c:v>
                </c:pt>
                <c:pt idx="424">
                  <c:v>44067</c:v>
                </c:pt>
                <c:pt idx="425">
                  <c:v>44068</c:v>
                </c:pt>
                <c:pt idx="426">
                  <c:v>44069</c:v>
                </c:pt>
                <c:pt idx="427">
                  <c:v>44070</c:v>
                </c:pt>
                <c:pt idx="428">
                  <c:v>44071</c:v>
                </c:pt>
                <c:pt idx="429">
                  <c:v>44074</c:v>
                </c:pt>
                <c:pt idx="430">
                  <c:v>44075</c:v>
                </c:pt>
                <c:pt idx="431">
                  <c:v>44076</c:v>
                </c:pt>
                <c:pt idx="432">
                  <c:v>44077</c:v>
                </c:pt>
                <c:pt idx="433">
                  <c:v>44078</c:v>
                </c:pt>
                <c:pt idx="434">
                  <c:v>44081</c:v>
                </c:pt>
                <c:pt idx="435">
                  <c:v>44082</c:v>
                </c:pt>
                <c:pt idx="436">
                  <c:v>44083</c:v>
                </c:pt>
                <c:pt idx="437">
                  <c:v>44084</c:v>
                </c:pt>
                <c:pt idx="438">
                  <c:v>44085</c:v>
                </c:pt>
                <c:pt idx="439">
                  <c:v>44088</c:v>
                </c:pt>
                <c:pt idx="440">
                  <c:v>44089</c:v>
                </c:pt>
                <c:pt idx="441">
                  <c:v>44090</c:v>
                </c:pt>
                <c:pt idx="442">
                  <c:v>44091</c:v>
                </c:pt>
                <c:pt idx="443">
                  <c:v>44092</c:v>
                </c:pt>
                <c:pt idx="444">
                  <c:v>44095</c:v>
                </c:pt>
                <c:pt idx="445">
                  <c:v>44096</c:v>
                </c:pt>
                <c:pt idx="446">
                  <c:v>44097</c:v>
                </c:pt>
                <c:pt idx="447">
                  <c:v>44098</c:v>
                </c:pt>
                <c:pt idx="448">
                  <c:v>44099</c:v>
                </c:pt>
                <c:pt idx="449">
                  <c:v>44102</c:v>
                </c:pt>
                <c:pt idx="450">
                  <c:v>44103</c:v>
                </c:pt>
                <c:pt idx="451">
                  <c:v>44104</c:v>
                </c:pt>
                <c:pt idx="452">
                  <c:v>44113</c:v>
                </c:pt>
                <c:pt idx="453">
                  <c:v>44116</c:v>
                </c:pt>
                <c:pt idx="454">
                  <c:v>44117</c:v>
                </c:pt>
                <c:pt idx="455">
                  <c:v>44118</c:v>
                </c:pt>
                <c:pt idx="456">
                  <c:v>44119</c:v>
                </c:pt>
                <c:pt idx="457">
                  <c:v>44120</c:v>
                </c:pt>
                <c:pt idx="458">
                  <c:v>44123</c:v>
                </c:pt>
                <c:pt idx="459">
                  <c:v>44124</c:v>
                </c:pt>
                <c:pt idx="460">
                  <c:v>44125</c:v>
                </c:pt>
                <c:pt idx="461">
                  <c:v>44126</c:v>
                </c:pt>
                <c:pt idx="462">
                  <c:v>44127</c:v>
                </c:pt>
              </c:numCache>
            </c:numRef>
          </c:cat>
          <c:val>
            <c:numRef>
              <c:f>净值记录!$F$2:$F$464</c:f>
              <c:numCache>
                <c:formatCode>0.00%</c:formatCode>
                <c:ptCount val="463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  <c:pt idx="258">
                  <c:v>0.45181005696437027</c:v>
                </c:pt>
                <c:pt idx="259">
                  <c:v>0.44269322454280935</c:v>
                </c:pt>
                <c:pt idx="260">
                  <c:v>0.43836375878353184</c:v>
                </c:pt>
                <c:pt idx="261">
                  <c:v>0.42155061593552656</c:v>
                </c:pt>
                <c:pt idx="262">
                  <c:v>0.42585906521331474</c:v>
                </c:pt>
                <c:pt idx="263">
                  <c:v>0.42764739982558125</c:v>
                </c:pt>
                <c:pt idx="264">
                  <c:v>0.43116035622443044</c:v>
                </c:pt>
                <c:pt idx="265">
                  <c:v>0.41955821396975224</c:v>
                </c:pt>
                <c:pt idx="266">
                  <c:v>0.43870061529610715</c:v>
                </c:pt>
                <c:pt idx="267">
                  <c:v>0.43890231141463187</c:v>
                </c:pt>
                <c:pt idx="268">
                  <c:v>0.45753606872256397</c:v>
                </c:pt>
                <c:pt idx="269">
                  <c:v>0.45540802646994383</c:v>
                </c:pt>
                <c:pt idx="270">
                  <c:v>0.46413474990293391</c:v>
                </c:pt>
                <c:pt idx="271">
                  <c:v>0.47602592876469035</c:v>
                </c:pt>
                <c:pt idx="272">
                  <c:v>0.45048292906603826</c:v>
                </c:pt>
                <c:pt idx="273">
                  <c:v>0.47745375097252385</c:v>
                </c:pt>
                <c:pt idx="274">
                  <c:v>0.48185027469255082</c:v>
                </c:pt>
                <c:pt idx="275">
                  <c:v>0.50398785775971455</c:v>
                </c:pt>
                <c:pt idx="276">
                  <c:v>0.49519497026072479</c:v>
                </c:pt>
                <c:pt idx="277">
                  <c:v>0.49899813499784051</c:v>
                </c:pt>
                <c:pt idx="278">
                  <c:v>0.49745155472580777</c:v>
                </c:pt>
                <c:pt idx="279">
                  <c:v>0.49576125928708964</c:v>
                </c:pt>
                <c:pt idx="280">
                  <c:v>0.53390105352281303</c:v>
                </c:pt>
                <c:pt idx="281">
                  <c:v>0.5212046516775648</c:v>
                </c:pt>
                <c:pt idx="282">
                  <c:v>0.54131540365816588</c:v>
                </c:pt>
                <c:pt idx="283">
                  <c:v>0.50155521059333918</c:v>
                </c:pt>
                <c:pt idx="284">
                  <c:v>0.39117031146066128</c:v>
                </c:pt>
                <c:pt idx="285">
                  <c:v>0.44971807633973382</c:v>
                </c:pt>
                <c:pt idx="286">
                  <c:v>0.46811065735095536</c:v>
                </c:pt>
                <c:pt idx="287">
                  <c:v>0.48710739339515047</c:v>
                </c:pt>
                <c:pt idx="288">
                  <c:v>0.48765773087642511</c:v>
                </c:pt>
                <c:pt idx="289">
                  <c:v>0.49555309239857664</c:v>
                </c:pt>
                <c:pt idx="290">
                  <c:v>0.49276191586214796</c:v>
                </c:pt>
                <c:pt idx="291">
                  <c:v>0.52259210786910104</c:v>
                </c:pt>
                <c:pt idx="292">
                  <c:v>0.51470489635318128</c:v>
                </c:pt>
                <c:pt idx="293">
                  <c:v>0.51375385596355316</c:v>
                </c:pt>
                <c:pt idx="294">
                  <c:v>0.561801168861633</c:v>
                </c:pt>
                <c:pt idx="295">
                  <c:v>0.58508126619783163</c:v>
                </c:pt>
                <c:pt idx="296">
                  <c:v>0.56510909705900092</c:v>
                </c:pt>
                <c:pt idx="297">
                  <c:v>0.61321442287063632</c:v>
                </c:pt>
                <c:pt idx="298">
                  <c:v>0.64281098136561565</c:v>
                </c:pt>
                <c:pt idx="299">
                  <c:v>0.68657258898201623</c:v>
                </c:pt>
                <c:pt idx="300">
                  <c:v>0.6612497509870594</c:v>
                </c:pt>
                <c:pt idx="301">
                  <c:v>0.62093421714647457</c:v>
                </c:pt>
                <c:pt idx="302">
                  <c:v>0.62093421714647457</c:v>
                </c:pt>
                <c:pt idx="303">
                  <c:v>0.62093421714647457</c:v>
                </c:pt>
                <c:pt idx="304">
                  <c:v>0.62093421714647457</c:v>
                </c:pt>
                <c:pt idx="305">
                  <c:v>0.62093421714647457</c:v>
                </c:pt>
                <c:pt idx="306">
                  <c:v>0.62093421714647457</c:v>
                </c:pt>
                <c:pt idx="307">
                  <c:v>0.62093421714647457</c:v>
                </c:pt>
                <c:pt idx="308">
                  <c:v>0.61952890090285895</c:v>
                </c:pt>
                <c:pt idx="309">
                  <c:v>0.61356368152841945</c:v>
                </c:pt>
                <c:pt idx="310">
                  <c:v>0.61712966359421551</c:v>
                </c:pt>
                <c:pt idx="311">
                  <c:v>0.61348830224177087</c:v>
                </c:pt>
                <c:pt idx="312">
                  <c:v>0.60625984174997949</c:v>
                </c:pt>
                <c:pt idx="313">
                  <c:v>0.61512608726824536</c:v>
                </c:pt>
                <c:pt idx="314">
                  <c:v>0.61248537152137372</c:v>
                </c:pt>
                <c:pt idx="315">
                  <c:v>0.61248537152137372</c:v>
                </c:pt>
                <c:pt idx="316">
                  <c:v>0.61248537152137372</c:v>
                </c:pt>
                <c:pt idx="317">
                  <c:v>0.61248537152137372</c:v>
                </c:pt>
                <c:pt idx="318">
                  <c:v>0.61252551543044909</c:v>
                </c:pt>
                <c:pt idx="319">
                  <c:v>0.61252551543044975</c:v>
                </c:pt>
                <c:pt idx="320">
                  <c:v>0.61252551543044975</c:v>
                </c:pt>
                <c:pt idx="321">
                  <c:v>0.61252551543044975</c:v>
                </c:pt>
                <c:pt idx="322">
                  <c:v>0.61252551543044975</c:v>
                </c:pt>
                <c:pt idx="323">
                  <c:v>0.61252551543044975</c:v>
                </c:pt>
                <c:pt idx="324">
                  <c:v>0.61252551543044975</c:v>
                </c:pt>
                <c:pt idx="325">
                  <c:v>0.29014366520389723</c:v>
                </c:pt>
                <c:pt idx="326">
                  <c:v>0.29014366520389723</c:v>
                </c:pt>
                <c:pt idx="327">
                  <c:v>0.29014366520389723</c:v>
                </c:pt>
                <c:pt idx="328">
                  <c:v>0.29014366520389723</c:v>
                </c:pt>
                <c:pt idx="329">
                  <c:v>0.29014366520389723</c:v>
                </c:pt>
                <c:pt idx="330">
                  <c:v>0.29014366520389723</c:v>
                </c:pt>
                <c:pt idx="331">
                  <c:v>0.29008187528482737</c:v>
                </c:pt>
                <c:pt idx="332">
                  <c:v>0.28497513892503107</c:v>
                </c:pt>
                <c:pt idx="333">
                  <c:v>0.28256654115284036</c:v>
                </c:pt>
                <c:pt idx="334">
                  <c:v>0.29287381236955895</c:v>
                </c:pt>
                <c:pt idx="335">
                  <c:v>0.28783364996594718</c:v>
                </c:pt>
                <c:pt idx="336">
                  <c:v>0.28882003569373293</c:v>
                </c:pt>
                <c:pt idx="337">
                  <c:v>0.29325711923436809</c:v>
                </c:pt>
                <c:pt idx="338">
                  <c:v>0.29687338408869063</c:v>
                </c:pt>
                <c:pt idx="339">
                  <c:v>0.28686544836217087</c:v>
                </c:pt>
                <c:pt idx="340">
                  <c:v>0.29124103238596749</c:v>
                </c:pt>
                <c:pt idx="341">
                  <c:v>0.29290731006800153</c:v>
                </c:pt>
                <c:pt idx="342">
                  <c:v>0.28822319501480748</c:v>
                </c:pt>
                <c:pt idx="343">
                  <c:v>0.293769235799616</c:v>
                </c:pt>
                <c:pt idx="344">
                  <c:v>0.29138459328644156</c:v>
                </c:pt>
                <c:pt idx="345">
                  <c:v>0.29341999921972672</c:v>
                </c:pt>
                <c:pt idx="346">
                  <c:v>0.30999262147555467</c:v>
                </c:pt>
                <c:pt idx="347">
                  <c:v>0.30818954253946168</c:v>
                </c:pt>
                <c:pt idx="348">
                  <c:v>0.30253897337220781</c:v>
                </c:pt>
                <c:pt idx="349">
                  <c:v>0.31248518628053917</c:v>
                </c:pt>
                <c:pt idx="350">
                  <c:v>0.3101552859319115</c:v>
                </c:pt>
                <c:pt idx="351">
                  <c:v>0.30959124503321317</c:v>
                </c:pt>
                <c:pt idx="352">
                  <c:v>0.3156557660995471</c:v>
                </c:pt>
                <c:pt idx="353">
                  <c:v>0.30589253703190311</c:v>
                </c:pt>
                <c:pt idx="354">
                  <c:v>0.30908615329924383</c:v>
                </c:pt>
                <c:pt idx="355">
                  <c:v>0.31159672378414066</c:v>
                </c:pt>
                <c:pt idx="356">
                  <c:v>0.32574042832971534</c:v>
                </c:pt>
                <c:pt idx="357">
                  <c:v>0.31966410521816457</c:v>
                </c:pt>
                <c:pt idx="358">
                  <c:v>0.31146661973939782</c:v>
                </c:pt>
                <c:pt idx="359">
                  <c:v>0.28957468364593392</c:v>
                </c:pt>
                <c:pt idx="360">
                  <c:v>0.29061115076555638</c:v>
                </c:pt>
                <c:pt idx="361">
                  <c:v>0.30093754303181208</c:v>
                </c:pt>
                <c:pt idx="362">
                  <c:v>0.29120926597082397</c:v>
                </c:pt>
                <c:pt idx="363">
                  <c:v>0.28953651550881915</c:v>
                </c:pt>
                <c:pt idx="364">
                  <c:v>0.29368227319445683</c:v>
                </c:pt>
                <c:pt idx="365">
                  <c:v>0.31584428902041706</c:v>
                </c:pt>
                <c:pt idx="366">
                  <c:v>0.31093926792796239</c:v>
                </c:pt>
                <c:pt idx="367">
                  <c:v>0.30554620432755114</c:v>
                </c:pt>
                <c:pt idx="368">
                  <c:v>0.30754147277835536</c:v>
                </c:pt>
                <c:pt idx="369">
                  <c:v>0.31467996695092376</c:v>
                </c:pt>
                <c:pt idx="370">
                  <c:v>0.30508614809371665</c:v>
                </c:pt>
                <c:pt idx="371">
                  <c:v>0.31902300238677006</c:v>
                </c:pt>
                <c:pt idx="372">
                  <c:v>0.33268670798535888</c:v>
                </c:pt>
                <c:pt idx="373">
                  <c:v>0.33692702312943279</c:v>
                </c:pt>
                <c:pt idx="374">
                  <c:v>0.34933800872338117</c:v>
                </c:pt>
                <c:pt idx="375">
                  <c:v>0.34468857567867811</c:v>
                </c:pt>
                <c:pt idx="376">
                  <c:v>0.37146568633966948</c:v>
                </c:pt>
                <c:pt idx="377">
                  <c:v>0.36852162653802112</c:v>
                </c:pt>
                <c:pt idx="378">
                  <c:v>0.37735380594296608</c:v>
                </c:pt>
                <c:pt idx="379">
                  <c:v>0.41182782760294812</c:v>
                </c:pt>
                <c:pt idx="380">
                  <c:v>0.43057225560819251</c:v>
                </c:pt>
                <c:pt idx="381">
                  <c:v>0.45734631124656971</c:v>
                </c:pt>
                <c:pt idx="382">
                  <c:v>0.45365408346417735</c:v>
                </c:pt>
                <c:pt idx="383">
                  <c:v>0.36213926387554746</c:v>
                </c:pt>
                <c:pt idx="384">
                  <c:v>0.39926120498163753</c:v>
                </c:pt>
                <c:pt idx="385">
                  <c:v>0.38414427596701789</c:v>
                </c:pt>
                <c:pt idx="386">
                  <c:v>0.39259011061757532</c:v>
                </c:pt>
                <c:pt idx="387">
                  <c:v>0.41258349557132196</c:v>
                </c:pt>
                <c:pt idx="388">
                  <c:v>0.45858000642180341</c:v>
                </c:pt>
                <c:pt idx="389">
                  <c:v>0.49277153277425823</c:v>
                </c:pt>
                <c:pt idx="390">
                  <c:v>0.55164632656898172</c:v>
                </c:pt>
                <c:pt idx="391">
                  <c:v>0.58990191500819755</c:v>
                </c:pt>
                <c:pt idx="392">
                  <c:v>0.59903295351033958</c:v>
                </c:pt>
                <c:pt idx="393">
                  <c:v>0.67503256298991832</c:v>
                </c:pt>
                <c:pt idx="394">
                  <c:v>0.65086675528441751</c:v>
                </c:pt>
                <c:pt idx="395">
                  <c:v>0.61672077831450545</c:v>
                </c:pt>
                <c:pt idx="396">
                  <c:v>0.54862400424967228</c:v>
                </c:pt>
                <c:pt idx="397">
                  <c:v>0.5486305518813851</c:v>
                </c:pt>
                <c:pt idx="398">
                  <c:v>0.5486305518813851</c:v>
                </c:pt>
                <c:pt idx="399">
                  <c:v>0.54863055188137877</c:v>
                </c:pt>
                <c:pt idx="400">
                  <c:v>0.54863055188137877</c:v>
                </c:pt>
                <c:pt idx="401">
                  <c:v>0.54863055188137877</c:v>
                </c:pt>
                <c:pt idx="402">
                  <c:v>0.54863055188137877</c:v>
                </c:pt>
                <c:pt idx="403">
                  <c:v>0.54863055188137877</c:v>
                </c:pt>
                <c:pt idx="404">
                  <c:v>0.54863055188137877</c:v>
                </c:pt>
                <c:pt idx="405">
                  <c:v>0.54863055188137877</c:v>
                </c:pt>
                <c:pt idx="406">
                  <c:v>0.54863055188137877</c:v>
                </c:pt>
                <c:pt idx="407">
                  <c:v>0.54863055188137877</c:v>
                </c:pt>
                <c:pt idx="408">
                  <c:v>0.54863055188137877</c:v>
                </c:pt>
                <c:pt idx="409">
                  <c:v>0.5591582890292921</c:v>
                </c:pt>
                <c:pt idx="410">
                  <c:v>0.53868849175660893</c:v>
                </c:pt>
                <c:pt idx="411">
                  <c:v>0.55233502327173123</c:v>
                </c:pt>
                <c:pt idx="412">
                  <c:v>0.52094800078694992</c:v>
                </c:pt>
                <c:pt idx="413">
                  <c:v>0.48382461864292903</c:v>
                </c:pt>
                <c:pt idx="414">
                  <c:v>0.47676053174098343</c:v>
                </c:pt>
                <c:pt idx="415">
                  <c:v>0.47389291598605271</c:v>
                </c:pt>
                <c:pt idx="416">
                  <c:v>0.46926766684453081</c:v>
                </c:pt>
                <c:pt idx="417">
                  <c:v>0.46926766684453081</c:v>
                </c:pt>
                <c:pt idx="418">
                  <c:v>0.46926766684453081</c:v>
                </c:pt>
                <c:pt idx="419">
                  <c:v>0.46926766684453081</c:v>
                </c:pt>
                <c:pt idx="420">
                  <c:v>0.46926766684453081</c:v>
                </c:pt>
                <c:pt idx="421">
                  <c:v>0.46926766684453081</c:v>
                </c:pt>
                <c:pt idx="422">
                  <c:v>0.46926766684453081</c:v>
                </c:pt>
                <c:pt idx="423">
                  <c:v>0.46926766684453081</c:v>
                </c:pt>
                <c:pt idx="424">
                  <c:v>0.46926766684453081</c:v>
                </c:pt>
                <c:pt idx="425">
                  <c:v>0.46926766684453081</c:v>
                </c:pt>
                <c:pt idx="426">
                  <c:v>0.46926766684453081</c:v>
                </c:pt>
                <c:pt idx="427">
                  <c:v>0.46926766684453081</c:v>
                </c:pt>
                <c:pt idx="428">
                  <c:v>0.46926766684453081</c:v>
                </c:pt>
                <c:pt idx="429">
                  <c:v>0.45763948495828666</c:v>
                </c:pt>
                <c:pt idx="430">
                  <c:v>0.46222767016617583</c:v>
                </c:pt>
                <c:pt idx="431">
                  <c:v>0.4633747164681481</c:v>
                </c:pt>
                <c:pt idx="432">
                  <c:v>0.45933173906062341</c:v>
                </c:pt>
                <c:pt idx="433">
                  <c:v>0.45005626802800375</c:v>
                </c:pt>
                <c:pt idx="434">
                  <c:v>0.44743709538628923</c:v>
                </c:pt>
                <c:pt idx="435">
                  <c:v>0.44743709538628923</c:v>
                </c:pt>
                <c:pt idx="436">
                  <c:v>0.44400132012046306</c:v>
                </c:pt>
                <c:pt idx="437">
                  <c:v>0.44400132012046306</c:v>
                </c:pt>
                <c:pt idx="438">
                  <c:v>0.44400132012046306</c:v>
                </c:pt>
                <c:pt idx="439">
                  <c:v>0.44400132012046306</c:v>
                </c:pt>
                <c:pt idx="440">
                  <c:v>0.44400132012046306</c:v>
                </c:pt>
                <c:pt idx="441">
                  <c:v>0.44400132012046306</c:v>
                </c:pt>
                <c:pt idx="442">
                  <c:v>0.44400132012046306</c:v>
                </c:pt>
                <c:pt idx="443">
                  <c:v>0.44432467979714324</c:v>
                </c:pt>
                <c:pt idx="444">
                  <c:v>0.44432467979714324</c:v>
                </c:pt>
                <c:pt idx="445">
                  <c:v>0.44432467979714324</c:v>
                </c:pt>
                <c:pt idx="446">
                  <c:v>0.44432467979714324</c:v>
                </c:pt>
                <c:pt idx="447">
                  <c:v>0.44137666617853683</c:v>
                </c:pt>
                <c:pt idx="448">
                  <c:v>0.44233219013436609</c:v>
                </c:pt>
                <c:pt idx="449">
                  <c:v>0.4343485282327279</c:v>
                </c:pt>
                <c:pt idx="450">
                  <c:v>0.43996100292227786</c:v>
                </c:pt>
                <c:pt idx="451">
                  <c:v>0.44508982297180483</c:v>
                </c:pt>
                <c:pt idx="452">
                  <c:v>0.48765699147661073</c:v>
                </c:pt>
                <c:pt idx="453">
                  <c:v>0.51700780403462654</c:v>
                </c:pt>
                <c:pt idx="454">
                  <c:v>0.52091969658858894</c:v>
                </c:pt>
                <c:pt idx="455">
                  <c:v>0.51511020155967513</c:v>
                </c:pt>
                <c:pt idx="456">
                  <c:v>0.50676994113966967</c:v>
                </c:pt>
                <c:pt idx="457">
                  <c:v>0.50901358389180973</c:v>
                </c:pt>
                <c:pt idx="458">
                  <c:v>0.48710437925765532</c:v>
                </c:pt>
                <c:pt idx="459">
                  <c:v>0.50602681439452935</c:v>
                </c:pt>
                <c:pt idx="460">
                  <c:v>0.49737385970647569</c:v>
                </c:pt>
                <c:pt idx="461">
                  <c:v>0.46981194043576519</c:v>
                </c:pt>
                <c:pt idx="462">
                  <c:v>0.3627317693698065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697" tableType="queryTable" totalsRowShown="0">
  <autoFilter ref="A1:H697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5" sqref="G5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1.3162351548188764</v>
      </c>
      <c r="E5" s="2">
        <f>C5/D5</f>
        <v>37987.133087081515</v>
      </c>
      <c r="F5">
        <v>240000</v>
      </c>
      <c r="G5">
        <f t="shared" si="1"/>
        <v>236513.66315446136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464"/>
  <sheetViews>
    <sheetView tabSelected="1" workbookViewId="0">
      <pane ySplit="1" topLeftCell="A2" activePane="bottomLeft" state="frozen"/>
      <selection pane="bottomLeft" activeCell="F464" sqref="A1:F464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236513.66315446136</v>
      </c>
      <c r="C385" s="6">
        <f>VLOOKUP(A385,fund_value_simple[],8,FALSE)</f>
        <v>1.3822179191255946</v>
      </c>
      <c r="D385" s="5">
        <f t="shared" si="19"/>
        <v>326913.42333013139</v>
      </c>
      <c r="E385">
        <v>240000</v>
      </c>
      <c r="F385" s="4">
        <f t="shared" si="18"/>
        <v>0.36213926387554746</v>
      </c>
    </row>
    <row r="386" spans="1:6" x14ac:dyDescent="0.5">
      <c r="A386" s="3">
        <v>44012</v>
      </c>
      <c r="B386" s="2">
        <v>236513.66315446136</v>
      </c>
      <c r="C386" s="6">
        <f>VLOOKUP(A386,fund_value_simple[],8,FALSE)</f>
        <v>1.4198870573336615</v>
      </c>
      <c r="D386" s="5">
        <f t="shared" si="19"/>
        <v>335822.689195593</v>
      </c>
      <c r="E386">
        <v>240000</v>
      </c>
      <c r="F386" s="4">
        <f t="shared" si="18"/>
        <v>0.39926120498163753</v>
      </c>
    </row>
    <row r="387" spans="1:6" x14ac:dyDescent="0.5">
      <c r="A387" s="3">
        <v>44013</v>
      </c>
      <c r="B387" s="2">
        <v>236513.66315446136</v>
      </c>
      <c r="C387" s="6">
        <f>VLOOKUP(A387,fund_value_simple[],8,FALSE)</f>
        <v>1.4045472967671047</v>
      </c>
      <c r="D387" s="5">
        <f t="shared" si="19"/>
        <v>332194.62623208429</v>
      </c>
      <c r="E387">
        <v>240000</v>
      </c>
      <c r="F387" s="4">
        <f t="shared" si="18"/>
        <v>0.38414427596701789</v>
      </c>
    </row>
    <row r="388" spans="1:6" x14ac:dyDescent="0.5">
      <c r="A388" s="3">
        <v>44014</v>
      </c>
      <c r="B388" s="2">
        <v>236513.66315446136</v>
      </c>
      <c r="C388" s="6">
        <f>VLOOKUP(A388,fund_value_simple[],8,FALSE)</f>
        <v>1.4131176275002175</v>
      </c>
      <c r="D388" s="5">
        <f t="shared" si="19"/>
        <v>334221.62654821808</v>
      </c>
      <c r="E388">
        <v>240000</v>
      </c>
      <c r="F388" s="4">
        <f t="shared" si="18"/>
        <v>0.39259011061757532</v>
      </c>
    </row>
    <row r="389" spans="1:6" x14ac:dyDescent="0.5">
      <c r="A389" s="3">
        <v>44015</v>
      </c>
      <c r="B389" s="2">
        <v>236513.66315446136</v>
      </c>
      <c r="C389" s="6">
        <f>VLOOKUP(A389,fund_value_simple[],8,FALSE)</f>
        <v>1.4334057255529946</v>
      </c>
      <c r="D389" s="5">
        <f t="shared" si="19"/>
        <v>339020.03893711726</v>
      </c>
      <c r="E389">
        <v>240000</v>
      </c>
      <c r="F389" s="4">
        <f t="shared" si="18"/>
        <v>0.41258349557132196</v>
      </c>
    </row>
    <row r="390" spans="1:6" x14ac:dyDescent="0.5">
      <c r="A390" s="3">
        <v>44018</v>
      </c>
      <c r="B390" s="2">
        <v>236513.66315446136</v>
      </c>
      <c r="C390" s="6">
        <f>VLOOKUP(A390,fund_value_simple[],8,FALSE)</f>
        <v>1.4800802493706995</v>
      </c>
      <c r="D390" s="5">
        <f t="shared" ref="D390:D395" si="20">B390*C390</f>
        <v>350059.20154123282</v>
      </c>
      <c r="E390">
        <v>240000</v>
      </c>
      <c r="F390" s="4">
        <f t="shared" ref="F390:F399" si="21">(D390-E390)/E390</f>
        <v>0.45858000642180341</v>
      </c>
    </row>
    <row r="391" spans="1:6" x14ac:dyDescent="0.5">
      <c r="A391" s="3">
        <v>44019</v>
      </c>
      <c r="B391" s="2">
        <v>236513.66315446136</v>
      </c>
      <c r="C391" s="6">
        <f>VLOOKUP(A391,fund_value_simple[],8,FALSE)</f>
        <v>1.5147757769573238</v>
      </c>
      <c r="D391" s="5">
        <f t="shared" si="20"/>
        <v>358265.16786582198</v>
      </c>
      <c r="E391">
        <v>240000</v>
      </c>
      <c r="F391" s="4">
        <f t="shared" si="21"/>
        <v>0.49277153277425823</v>
      </c>
    </row>
    <row r="392" spans="1:6" x14ac:dyDescent="0.5">
      <c r="A392" s="3">
        <v>44020</v>
      </c>
      <c r="B392" s="2">
        <v>236513.66315446136</v>
      </c>
      <c r="C392" s="6">
        <f>VLOOKUP(A392,fund_value_simple[],8,FALSE)</f>
        <v>1.5745184164407169</v>
      </c>
      <c r="D392" s="5">
        <f t="shared" si="20"/>
        <v>372395.11837655562</v>
      </c>
      <c r="E392">
        <v>240000</v>
      </c>
      <c r="F392" s="4">
        <f t="shared" si="21"/>
        <v>0.55164632656898172</v>
      </c>
    </row>
    <row r="393" spans="1:6" x14ac:dyDescent="0.5">
      <c r="A393" s="3">
        <v>44021</v>
      </c>
      <c r="B393" s="2">
        <v>236513.66315446136</v>
      </c>
      <c r="C393" s="6">
        <f>VLOOKUP(A393,fund_value_simple[],8,FALSE)</f>
        <v>1.6133379125449046</v>
      </c>
      <c r="D393" s="5">
        <f t="shared" si="20"/>
        <v>381576.45960196742</v>
      </c>
      <c r="E393">
        <v>240000</v>
      </c>
      <c r="F393" s="4">
        <f t="shared" si="21"/>
        <v>0.58990191500819755</v>
      </c>
    </row>
    <row r="394" spans="1:6" x14ac:dyDescent="0.5">
      <c r="A394" s="3">
        <v>44022</v>
      </c>
      <c r="B394" s="2">
        <v>236513.66315446136</v>
      </c>
      <c r="C394" s="6">
        <f>VLOOKUP(A394,fund_value_simple[],8,FALSE)</f>
        <v>1.6226035473978175</v>
      </c>
      <c r="D394" s="5">
        <f t="shared" si="20"/>
        <v>383767.9088424815</v>
      </c>
      <c r="E394">
        <v>240000</v>
      </c>
      <c r="F394" s="4">
        <f t="shared" si="21"/>
        <v>0.59903295351033958</v>
      </c>
    </row>
    <row r="395" spans="1:6" x14ac:dyDescent="0.5">
      <c r="A395" s="3">
        <v>44025</v>
      </c>
      <c r="B395" s="2">
        <v>236513.66315446136</v>
      </c>
      <c r="C395" s="6">
        <f>VLOOKUP(A395,fund_value_simple[],8,FALSE)</f>
        <v>1.6997234314325376</v>
      </c>
      <c r="D395" s="5">
        <f t="shared" si="20"/>
        <v>402007.81511758041</v>
      </c>
      <c r="E395">
        <v>240000</v>
      </c>
      <c r="F395" s="4">
        <f t="shared" si="21"/>
        <v>0.67503256298991832</v>
      </c>
    </row>
    <row r="396" spans="1:6" x14ac:dyDescent="0.5">
      <c r="A396" s="3">
        <v>44026</v>
      </c>
      <c r="B396" s="2">
        <v>236514.66315446101</v>
      </c>
      <c r="C396" s="6">
        <f>VLOOKUP(A396,fund_value_simple[],8,FALSE)</f>
        <v>1.6751943240386242</v>
      </c>
      <c r="D396" s="5">
        <f t="shared" ref="D396:D459" si="22">B396*C396</f>
        <v>396208.0212682602</v>
      </c>
      <c r="E396">
        <v>240000</v>
      </c>
      <c r="F396" s="4">
        <f t="shared" si="21"/>
        <v>0.65086675528441751</v>
      </c>
    </row>
    <row r="397" spans="1:6" x14ac:dyDescent="0.5">
      <c r="A397" s="3">
        <v>44027</v>
      </c>
      <c r="B397" s="2">
        <v>236515.66315446101</v>
      </c>
      <c r="C397" s="6">
        <f>VLOOKUP(A397,fund_value_simple[],8,FALSE)</f>
        <v>1.6405382274495794</v>
      </c>
      <c r="D397" s="5">
        <f t="shared" si="22"/>
        <v>388012.98679548129</v>
      </c>
      <c r="E397">
        <v>240000</v>
      </c>
      <c r="F397" s="4">
        <f t="shared" si="21"/>
        <v>0.61672077831450545</v>
      </c>
    </row>
    <row r="398" spans="1:6" x14ac:dyDescent="0.5">
      <c r="A398" s="3">
        <v>44028</v>
      </c>
      <c r="B398" s="2">
        <v>236516.66315446101</v>
      </c>
      <c r="C398" s="6">
        <f>VLOOKUP(A398,fund_value_simple[],8,FALSE)</f>
        <v>1.5714316110455036</v>
      </c>
      <c r="D398" s="5">
        <f t="shared" si="22"/>
        <v>371669.76101992134</v>
      </c>
      <c r="E398">
        <v>240000</v>
      </c>
      <c r="F398" s="4">
        <f t="shared" si="21"/>
        <v>0.54862400424967228</v>
      </c>
    </row>
    <row r="399" spans="1:6" x14ac:dyDescent="0.5">
      <c r="A399" s="3">
        <v>44029</v>
      </c>
      <c r="B399" s="2">
        <v>236517.66315446101</v>
      </c>
      <c r="C399" s="6">
        <f>VLOOKUP(A399,fund_value_simple[],8,FALSE)</f>
        <v>1.5714316110455036</v>
      </c>
      <c r="D399" s="5">
        <f t="shared" si="22"/>
        <v>371671.33245153242</v>
      </c>
      <c r="E399">
        <v>240000</v>
      </c>
      <c r="F399" s="4">
        <f t="shared" si="21"/>
        <v>0.5486305518813851</v>
      </c>
    </row>
    <row r="400" spans="1:6" x14ac:dyDescent="0.5">
      <c r="A400" s="3">
        <v>44029</v>
      </c>
      <c r="B400" s="2">
        <v>236517.66315446101</v>
      </c>
      <c r="C400" s="6">
        <f>VLOOKUP(A400,fund_value_simple[],8,FALSE)</f>
        <v>1.5714316110455036</v>
      </c>
      <c r="D400" s="5">
        <f t="shared" si="22"/>
        <v>371671.33245153242</v>
      </c>
      <c r="E400">
        <v>240000</v>
      </c>
      <c r="F400" s="4">
        <f t="shared" ref="F400:F463" si="23">(D400-E400)/E400</f>
        <v>0.5486305518813851</v>
      </c>
    </row>
    <row r="401" spans="1:6" x14ac:dyDescent="0.5">
      <c r="A401" s="3">
        <v>44032</v>
      </c>
      <c r="B401" s="2">
        <v>236517.66315446101</v>
      </c>
      <c r="C401" s="6">
        <f>VLOOKUP(A401,fund_value_simple[],8,FALSE)</f>
        <v>1.5714316110454973</v>
      </c>
      <c r="D401" s="5">
        <f t="shared" si="22"/>
        <v>371671.33245153091</v>
      </c>
      <c r="E401">
        <v>240000</v>
      </c>
      <c r="F401" s="4">
        <f t="shared" si="23"/>
        <v>0.54863055188137877</v>
      </c>
    </row>
    <row r="402" spans="1:6" x14ac:dyDescent="0.5">
      <c r="A402" s="3">
        <v>44033</v>
      </c>
      <c r="B402" s="2">
        <v>236517.66315446101</v>
      </c>
      <c r="C402" s="6">
        <f>VLOOKUP(A402,fund_value_simple[],8,FALSE)</f>
        <v>1.5714316110454973</v>
      </c>
      <c r="D402" s="5">
        <f t="shared" si="22"/>
        <v>371671.33245153091</v>
      </c>
      <c r="E402">
        <v>240000</v>
      </c>
      <c r="F402" s="4">
        <f t="shared" si="23"/>
        <v>0.54863055188137877</v>
      </c>
    </row>
    <row r="403" spans="1:6" x14ac:dyDescent="0.5">
      <c r="A403" s="3">
        <v>44034</v>
      </c>
      <c r="B403" s="2">
        <v>236517.66315446101</v>
      </c>
      <c r="C403" s="6">
        <f>VLOOKUP(A403,fund_value_simple[],8,FALSE)</f>
        <v>1.5714316110454973</v>
      </c>
      <c r="D403" s="5">
        <f t="shared" si="22"/>
        <v>371671.33245153091</v>
      </c>
      <c r="E403">
        <v>240000</v>
      </c>
      <c r="F403" s="4">
        <f t="shared" si="23"/>
        <v>0.54863055188137877</v>
      </c>
    </row>
    <row r="404" spans="1:6" x14ac:dyDescent="0.5">
      <c r="A404" s="3">
        <v>44035</v>
      </c>
      <c r="B404" s="2">
        <v>236517.66315446101</v>
      </c>
      <c r="C404" s="6">
        <f>VLOOKUP(A404,fund_value_simple[],8,FALSE)</f>
        <v>1.5714316110454973</v>
      </c>
      <c r="D404" s="5">
        <f t="shared" si="22"/>
        <v>371671.33245153091</v>
      </c>
      <c r="E404">
        <v>240000</v>
      </c>
      <c r="F404" s="4">
        <f t="shared" si="23"/>
        <v>0.54863055188137877</v>
      </c>
    </row>
    <row r="405" spans="1:6" x14ac:dyDescent="0.5">
      <c r="A405" s="3">
        <v>44036</v>
      </c>
      <c r="B405" s="2">
        <v>236517.66315446101</v>
      </c>
      <c r="C405" s="6">
        <f>VLOOKUP(A405,fund_value_simple[],8,FALSE)</f>
        <v>1.5714316110454973</v>
      </c>
      <c r="D405" s="5">
        <f t="shared" si="22"/>
        <v>371671.33245153091</v>
      </c>
      <c r="E405">
        <v>240000</v>
      </c>
      <c r="F405" s="4">
        <f t="shared" si="23"/>
        <v>0.54863055188137877</v>
      </c>
    </row>
    <row r="406" spans="1:6" x14ac:dyDescent="0.5">
      <c r="A406" s="3">
        <v>44039</v>
      </c>
      <c r="B406" s="2">
        <v>236517.66315446101</v>
      </c>
      <c r="C406" s="6">
        <f>VLOOKUP(A406,fund_value_simple[],8,FALSE)</f>
        <v>1.5714316110454973</v>
      </c>
      <c r="D406" s="5">
        <f t="shared" si="22"/>
        <v>371671.33245153091</v>
      </c>
      <c r="E406">
        <v>240000</v>
      </c>
      <c r="F406" s="4">
        <f t="shared" si="23"/>
        <v>0.54863055188137877</v>
      </c>
    </row>
    <row r="407" spans="1:6" x14ac:dyDescent="0.5">
      <c r="A407" s="3">
        <v>44040</v>
      </c>
      <c r="B407" s="2">
        <v>236517.66315446101</v>
      </c>
      <c r="C407" s="6">
        <f>VLOOKUP(A407,fund_value_simple[],8,FALSE)</f>
        <v>1.5714316110454973</v>
      </c>
      <c r="D407" s="5">
        <f t="shared" si="22"/>
        <v>371671.33245153091</v>
      </c>
      <c r="E407">
        <v>240000</v>
      </c>
      <c r="F407" s="4">
        <f t="shared" si="23"/>
        <v>0.54863055188137877</v>
      </c>
    </row>
    <row r="408" spans="1:6" x14ac:dyDescent="0.5">
      <c r="A408" s="3">
        <v>44041</v>
      </c>
      <c r="B408" s="2">
        <v>236517.66315446101</v>
      </c>
      <c r="C408" s="6">
        <f>VLOOKUP(A408,fund_value_simple[],8,FALSE)</f>
        <v>1.5714316110454973</v>
      </c>
      <c r="D408" s="5">
        <f t="shared" si="22"/>
        <v>371671.33245153091</v>
      </c>
      <c r="E408">
        <v>240000</v>
      </c>
      <c r="F408" s="4">
        <f t="shared" si="23"/>
        <v>0.54863055188137877</v>
      </c>
    </row>
    <row r="409" spans="1:6" x14ac:dyDescent="0.5">
      <c r="A409" s="3">
        <v>44042</v>
      </c>
      <c r="B409" s="2">
        <v>236517.66315446101</v>
      </c>
      <c r="C409" s="6">
        <f>VLOOKUP(A409,fund_value_simple[],8,FALSE)</f>
        <v>1.5714316110454973</v>
      </c>
      <c r="D409" s="5">
        <f t="shared" si="22"/>
        <v>371671.33245153091</v>
      </c>
      <c r="E409">
        <v>240000</v>
      </c>
      <c r="F409" s="4">
        <f t="shared" si="23"/>
        <v>0.54863055188137877</v>
      </c>
    </row>
    <row r="410" spans="1:6" x14ac:dyDescent="0.5">
      <c r="A410" s="3">
        <v>44043</v>
      </c>
      <c r="B410" s="2">
        <v>236517.66315446101</v>
      </c>
      <c r="C410" s="6">
        <f>VLOOKUP(A410,fund_value_simple[],8,FALSE)</f>
        <v>1.5714316110454973</v>
      </c>
      <c r="D410" s="5">
        <f t="shared" si="22"/>
        <v>371671.33245153091</v>
      </c>
      <c r="E410">
        <v>240000</v>
      </c>
      <c r="F410" s="4">
        <f t="shared" si="23"/>
        <v>0.54863055188137877</v>
      </c>
    </row>
    <row r="411" spans="1:6" x14ac:dyDescent="0.5">
      <c r="A411" s="3">
        <v>44046</v>
      </c>
      <c r="B411" s="2">
        <v>236517.66315446101</v>
      </c>
      <c r="C411" s="6">
        <f>VLOOKUP(A411,fund_value_simple[],8,FALSE)</f>
        <v>1.582114351952882</v>
      </c>
      <c r="D411" s="5">
        <f t="shared" si="22"/>
        <v>374197.9893670301</v>
      </c>
      <c r="E411">
        <v>240000</v>
      </c>
      <c r="F411" s="4">
        <f t="shared" si="23"/>
        <v>0.5591582890292921</v>
      </c>
    </row>
    <row r="412" spans="1:6" x14ac:dyDescent="0.5">
      <c r="A412" s="3">
        <v>44047</v>
      </c>
      <c r="B412" s="2">
        <v>236517.66315446101</v>
      </c>
      <c r="C412" s="6">
        <f>VLOOKUP(A412,fund_value_simple[],8,FALSE)</f>
        <v>1.5613431703002218</v>
      </c>
      <c r="D412" s="5">
        <f t="shared" si="22"/>
        <v>369285.23802158615</v>
      </c>
      <c r="E412">
        <v>240000</v>
      </c>
      <c r="F412" s="4">
        <f t="shared" si="23"/>
        <v>0.53868849175660893</v>
      </c>
    </row>
    <row r="413" spans="1:6" x14ac:dyDescent="0.5">
      <c r="A413" s="3">
        <v>44048</v>
      </c>
      <c r="B413" s="2">
        <v>236517.66315446101</v>
      </c>
      <c r="C413" s="6">
        <f>VLOOKUP(A413,fund_value_simple[],8,FALSE)</f>
        <v>1.5751906247353287</v>
      </c>
      <c r="D413" s="5">
        <f t="shared" si="22"/>
        <v>372560.40558521549</v>
      </c>
      <c r="E413">
        <v>240000</v>
      </c>
      <c r="F413" s="4">
        <f t="shared" si="23"/>
        <v>0.55233502327173123</v>
      </c>
    </row>
    <row r="414" spans="1:6" x14ac:dyDescent="0.5">
      <c r="A414" s="3">
        <v>44049</v>
      </c>
      <c r="B414" s="2">
        <v>236517.66315446101</v>
      </c>
      <c r="C414" s="6">
        <f>VLOOKUP(A414,fund_value_simple[],8,FALSE)</f>
        <v>1.543341479534583</v>
      </c>
      <c r="D414" s="5">
        <f t="shared" si="22"/>
        <v>365027.52018886799</v>
      </c>
      <c r="E414">
        <v>240000</v>
      </c>
      <c r="F414" s="4">
        <f t="shared" si="23"/>
        <v>0.52094800078694992</v>
      </c>
    </row>
    <row r="415" spans="1:6" x14ac:dyDescent="0.5">
      <c r="A415" s="3">
        <v>44050</v>
      </c>
      <c r="B415" s="2">
        <v>236517.66315446101</v>
      </c>
      <c r="C415" s="6">
        <f>VLOOKUP(A415,fund_value_simple[],8,FALSE)</f>
        <v>1.5056715161342322</v>
      </c>
      <c r="D415" s="5">
        <f t="shared" si="22"/>
        <v>356117.90847430297</v>
      </c>
      <c r="E415">
        <v>240000</v>
      </c>
      <c r="F415" s="4">
        <f t="shared" si="23"/>
        <v>0.48382461864292903</v>
      </c>
    </row>
    <row r="416" spans="1:6" x14ac:dyDescent="0.5">
      <c r="A416" s="3">
        <v>44053</v>
      </c>
      <c r="B416" s="2">
        <v>236517.66315446101</v>
      </c>
      <c r="C416" s="6">
        <f>VLOOKUP(A416,fund_value_simple[],8,FALSE)</f>
        <v>1.4985034220737063</v>
      </c>
      <c r="D416" s="5">
        <f t="shared" si="22"/>
        <v>354422.52761783602</v>
      </c>
      <c r="E416">
        <v>240000</v>
      </c>
      <c r="F416" s="4">
        <f t="shared" si="23"/>
        <v>0.47676053174098343</v>
      </c>
    </row>
    <row r="417" spans="1:6" x14ac:dyDescent="0.5">
      <c r="A417" s="3">
        <v>44054</v>
      </c>
      <c r="B417" s="2">
        <v>236517.66315446101</v>
      </c>
      <c r="C417" s="6">
        <f>VLOOKUP(A417,fund_value_simple[],8,FALSE)</f>
        <v>1.4955935853536728</v>
      </c>
      <c r="D417" s="5">
        <f t="shared" si="22"/>
        <v>353734.29983665264</v>
      </c>
      <c r="E417">
        <v>240000</v>
      </c>
      <c r="F417" s="4">
        <f t="shared" si="23"/>
        <v>0.47389291598605271</v>
      </c>
    </row>
    <row r="418" spans="1:6" x14ac:dyDescent="0.5">
      <c r="A418" s="3">
        <v>44055</v>
      </c>
      <c r="B418" s="2">
        <v>236517.66315446101</v>
      </c>
      <c r="C418" s="6">
        <f>VLOOKUP(A418,fund_value_simple[],8,FALSE)</f>
        <v>1.4909002369620126</v>
      </c>
      <c r="D418" s="5">
        <f t="shared" si="22"/>
        <v>352624.24004268739</v>
      </c>
      <c r="E418">
        <v>240000</v>
      </c>
      <c r="F418" s="4">
        <f t="shared" si="23"/>
        <v>0.46926766684453081</v>
      </c>
    </row>
    <row r="419" spans="1:6" x14ac:dyDescent="0.5">
      <c r="A419" s="3">
        <v>44056</v>
      </c>
      <c r="B419" s="2">
        <v>236517.66315446101</v>
      </c>
      <c r="C419" s="6">
        <f>VLOOKUP(A419,fund_value_simple[],8,FALSE)</f>
        <v>1.4909002369620126</v>
      </c>
      <c r="D419" s="5">
        <f t="shared" si="22"/>
        <v>352624.24004268739</v>
      </c>
      <c r="E419">
        <v>240000</v>
      </c>
      <c r="F419" s="4">
        <f t="shared" si="23"/>
        <v>0.46926766684453081</v>
      </c>
    </row>
    <row r="420" spans="1:6" x14ac:dyDescent="0.5">
      <c r="A420" s="3">
        <v>44057</v>
      </c>
      <c r="B420" s="2">
        <v>236517.66315446101</v>
      </c>
      <c r="C420" s="6">
        <f>VLOOKUP(A420,fund_value_simple[],8,FALSE)</f>
        <v>1.4909002369620126</v>
      </c>
      <c r="D420" s="5">
        <f t="shared" si="22"/>
        <v>352624.24004268739</v>
      </c>
      <c r="E420">
        <v>240000</v>
      </c>
      <c r="F420" s="4">
        <f t="shared" si="23"/>
        <v>0.46926766684453081</v>
      </c>
    </row>
    <row r="421" spans="1:6" x14ac:dyDescent="0.5">
      <c r="A421" s="3">
        <v>44060</v>
      </c>
      <c r="B421" s="2">
        <v>236517.66315446101</v>
      </c>
      <c r="C421" s="6">
        <f>VLOOKUP(A421,fund_value_simple[],8,FALSE)</f>
        <v>1.4909002369620126</v>
      </c>
      <c r="D421" s="5">
        <f t="shared" si="22"/>
        <v>352624.24004268739</v>
      </c>
      <c r="E421">
        <v>240000</v>
      </c>
      <c r="F421" s="4">
        <f t="shared" si="23"/>
        <v>0.46926766684453081</v>
      </c>
    </row>
    <row r="422" spans="1:6" x14ac:dyDescent="0.5">
      <c r="A422" s="3">
        <v>44061</v>
      </c>
      <c r="B422" s="2">
        <v>236517.66315446101</v>
      </c>
      <c r="C422" s="6">
        <f>VLOOKUP(A422,fund_value_simple[],8,FALSE)</f>
        <v>1.4909002369620126</v>
      </c>
      <c r="D422" s="5">
        <f t="shared" si="22"/>
        <v>352624.24004268739</v>
      </c>
      <c r="E422">
        <v>240000</v>
      </c>
      <c r="F422" s="4">
        <f t="shared" si="23"/>
        <v>0.46926766684453081</v>
      </c>
    </row>
    <row r="423" spans="1:6" x14ac:dyDescent="0.5">
      <c r="A423" s="3">
        <v>44062</v>
      </c>
      <c r="B423" s="2">
        <v>236517.66315446101</v>
      </c>
      <c r="C423" s="6">
        <f>VLOOKUP(A423,fund_value_simple[],8,FALSE)</f>
        <v>1.4909002369620126</v>
      </c>
      <c r="D423" s="5">
        <f t="shared" si="22"/>
        <v>352624.24004268739</v>
      </c>
      <c r="E423">
        <v>240000</v>
      </c>
      <c r="F423" s="4">
        <f t="shared" si="23"/>
        <v>0.46926766684453081</v>
      </c>
    </row>
    <row r="424" spans="1:6" x14ac:dyDescent="0.5">
      <c r="A424" s="3">
        <v>44063</v>
      </c>
      <c r="B424" s="2">
        <v>236517.66315446101</v>
      </c>
      <c r="C424" s="6">
        <f>VLOOKUP(A424,fund_value_simple[],8,FALSE)</f>
        <v>1.4909002369620126</v>
      </c>
      <c r="D424" s="5">
        <f t="shared" si="22"/>
        <v>352624.24004268739</v>
      </c>
      <c r="E424">
        <v>240000</v>
      </c>
      <c r="F424" s="4">
        <f t="shared" si="23"/>
        <v>0.46926766684453081</v>
      </c>
    </row>
    <row r="425" spans="1:6" x14ac:dyDescent="0.5">
      <c r="A425" s="3">
        <v>44064</v>
      </c>
      <c r="B425" s="2">
        <v>236517.66315446101</v>
      </c>
      <c r="C425" s="6">
        <f>VLOOKUP(A425,fund_value_simple[],8,FALSE)</f>
        <v>1.4909002369620126</v>
      </c>
      <c r="D425" s="5">
        <f t="shared" si="22"/>
        <v>352624.24004268739</v>
      </c>
      <c r="E425">
        <v>240000</v>
      </c>
      <c r="F425" s="4">
        <f t="shared" si="23"/>
        <v>0.46926766684453081</v>
      </c>
    </row>
    <row r="426" spans="1:6" x14ac:dyDescent="0.5">
      <c r="A426" s="3">
        <v>44067</v>
      </c>
      <c r="B426" s="2">
        <v>236517.66315446101</v>
      </c>
      <c r="C426" s="6">
        <f>VLOOKUP(A426,fund_value_simple[],8,FALSE)</f>
        <v>1.4909002369620126</v>
      </c>
      <c r="D426" s="5">
        <f t="shared" si="22"/>
        <v>352624.24004268739</v>
      </c>
      <c r="E426">
        <v>240000</v>
      </c>
      <c r="F426" s="4">
        <f t="shared" si="23"/>
        <v>0.46926766684453081</v>
      </c>
    </row>
    <row r="427" spans="1:6" x14ac:dyDescent="0.5">
      <c r="A427" s="3">
        <v>44068</v>
      </c>
      <c r="B427" s="2">
        <v>236517.66315446101</v>
      </c>
      <c r="C427" s="6">
        <f>VLOOKUP(A427,fund_value_simple[],8,FALSE)</f>
        <v>1.4909002369620126</v>
      </c>
      <c r="D427" s="5">
        <f t="shared" si="22"/>
        <v>352624.24004268739</v>
      </c>
      <c r="E427">
        <v>240000</v>
      </c>
      <c r="F427" s="4">
        <f t="shared" si="23"/>
        <v>0.46926766684453081</v>
      </c>
    </row>
    <row r="428" spans="1:6" x14ac:dyDescent="0.5">
      <c r="A428" s="3">
        <v>44069</v>
      </c>
      <c r="B428" s="2">
        <v>236517.66315446101</v>
      </c>
      <c r="C428" s="6">
        <f>VLOOKUP(A428,fund_value_simple[],8,FALSE)</f>
        <v>1.4909002369620126</v>
      </c>
      <c r="D428" s="5">
        <f t="shared" si="22"/>
        <v>352624.24004268739</v>
      </c>
      <c r="E428">
        <v>240000</v>
      </c>
      <c r="F428" s="4">
        <f t="shared" si="23"/>
        <v>0.46926766684453081</v>
      </c>
    </row>
    <row r="429" spans="1:6" x14ac:dyDescent="0.5">
      <c r="A429" s="3">
        <v>44070</v>
      </c>
      <c r="B429" s="2">
        <v>236517.66315446101</v>
      </c>
      <c r="C429" s="6">
        <f>VLOOKUP(A429,fund_value_simple[],8,FALSE)</f>
        <v>1.4909002369620126</v>
      </c>
      <c r="D429" s="5">
        <f t="shared" si="22"/>
        <v>352624.24004268739</v>
      </c>
      <c r="E429">
        <v>240000</v>
      </c>
      <c r="F429" s="4">
        <f t="shared" si="23"/>
        <v>0.46926766684453081</v>
      </c>
    </row>
    <row r="430" spans="1:6" x14ac:dyDescent="0.5">
      <c r="A430" s="3">
        <v>44071</v>
      </c>
      <c r="B430" s="2">
        <v>236517.66315446101</v>
      </c>
      <c r="C430" s="6">
        <f>VLOOKUP(A430,fund_value_simple[],8,FALSE)</f>
        <v>1.4909002369620126</v>
      </c>
      <c r="D430" s="5">
        <f t="shared" si="22"/>
        <v>352624.24004268739</v>
      </c>
      <c r="E430">
        <v>240000</v>
      </c>
      <c r="F430" s="4">
        <f t="shared" si="23"/>
        <v>0.46926766684453081</v>
      </c>
    </row>
    <row r="431" spans="1:6" x14ac:dyDescent="0.5">
      <c r="A431" s="3">
        <v>44074</v>
      </c>
      <c r="B431" s="2">
        <v>236517.66315446101</v>
      </c>
      <c r="C431" s="6">
        <f>VLOOKUP(A431,fund_value_simple[],8,FALSE)</f>
        <v>1.4791008490622766</v>
      </c>
      <c r="D431" s="5">
        <f t="shared" si="22"/>
        <v>349833.47638998879</v>
      </c>
      <c r="E431">
        <v>240000</v>
      </c>
      <c r="F431" s="4">
        <f t="shared" si="23"/>
        <v>0.45763948495828666</v>
      </c>
    </row>
    <row r="432" spans="1:6" x14ac:dyDescent="0.5">
      <c r="A432" s="3">
        <v>44075</v>
      </c>
      <c r="B432" s="2">
        <v>236517.66315446101</v>
      </c>
      <c r="C432" s="6">
        <f>VLOOKUP(A432,fund_value_simple[],8,FALSE)</f>
        <v>1.4837565878143302</v>
      </c>
      <c r="D432" s="5">
        <f t="shared" si="22"/>
        <v>350934.64083988219</v>
      </c>
      <c r="E432">
        <v>240000</v>
      </c>
      <c r="F432" s="4">
        <f t="shared" si="23"/>
        <v>0.46222767016617583</v>
      </c>
    </row>
    <row r="433" spans="1:6" x14ac:dyDescent="0.5">
      <c r="A433" s="3">
        <v>44076</v>
      </c>
      <c r="B433" s="2">
        <v>236517.66315446101</v>
      </c>
      <c r="C433" s="6">
        <f>VLOOKUP(A433,fund_value_simple[],8,FALSE)</f>
        <v>1.4849205225023436</v>
      </c>
      <c r="D433" s="5">
        <f t="shared" si="22"/>
        <v>351209.93195235555</v>
      </c>
      <c r="E433">
        <v>240000</v>
      </c>
      <c r="F433" s="4">
        <f t="shared" si="23"/>
        <v>0.4633747164681481</v>
      </c>
    </row>
    <row r="434" spans="1:6" x14ac:dyDescent="0.5">
      <c r="A434" s="3">
        <v>44077</v>
      </c>
      <c r="B434" s="2">
        <v>236517.66315446101</v>
      </c>
      <c r="C434" s="6">
        <f>VLOOKUP(A434,fund_value_simple[],8,FALSE)</f>
        <v>1.4808180188463176</v>
      </c>
      <c r="D434" s="5">
        <f t="shared" si="22"/>
        <v>350239.61737454962</v>
      </c>
      <c r="E434">
        <v>240000</v>
      </c>
      <c r="F434" s="4">
        <f t="shared" si="23"/>
        <v>0.45933173906062341</v>
      </c>
    </row>
    <row r="435" spans="1:6" x14ac:dyDescent="0.5">
      <c r="A435" s="3">
        <v>44078</v>
      </c>
      <c r="B435" s="2">
        <v>236517.66315446101</v>
      </c>
      <c r="C435" s="6">
        <f>VLOOKUP(A435,fund_value_simple[],8,FALSE)</f>
        <v>1.4714059816304124</v>
      </c>
      <c r="D435" s="5">
        <f t="shared" si="22"/>
        <v>348013.5043267209</v>
      </c>
      <c r="E435">
        <v>240000</v>
      </c>
      <c r="F435" s="4">
        <f t="shared" si="23"/>
        <v>0.45005626802800375</v>
      </c>
    </row>
    <row r="436" spans="1:6" x14ac:dyDescent="0.5">
      <c r="A436" s="3">
        <v>44081</v>
      </c>
      <c r="B436" s="2">
        <v>236517.66315446101</v>
      </c>
      <c r="C436" s="6">
        <f>VLOOKUP(A436,fund_value_simple[],8,FALSE)</f>
        <v>1.468748245943243</v>
      </c>
      <c r="D436" s="5">
        <f t="shared" si="22"/>
        <v>347384.90289270942</v>
      </c>
      <c r="E436">
        <v>240000</v>
      </c>
      <c r="F436" s="4">
        <f t="shared" si="23"/>
        <v>0.44743709538628923</v>
      </c>
    </row>
    <row r="437" spans="1:6" x14ac:dyDescent="0.5">
      <c r="A437" s="3">
        <v>44082</v>
      </c>
      <c r="B437" s="2">
        <v>236517.66315446101</v>
      </c>
      <c r="C437" s="6">
        <f>VLOOKUP(A437,fund_value_simple[],8,FALSE)</f>
        <v>1.468748245943243</v>
      </c>
      <c r="D437" s="5">
        <f t="shared" si="22"/>
        <v>347384.90289270942</v>
      </c>
      <c r="E437">
        <v>240000</v>
      </c>
      <c r="F437" s="4">
        <f t="shared" si="23"/>
        <v>0.44743709538628923</v>
      </c>
    </row>
    <row r="438" spans="1:6" x14ac:dyDescent="0.5">
      <c r="A438" s="3">
        <v>44083</v>
      </c>
      <c r="B438" s="2">
        <v>236517.66315446101</v>
      </c>
      <c r="C438" s="6">
        <f>VLOOKUP(A438,fund_value_simple[],8,FALSE)</f>
        <v>1.4652618844901462</v>
      </c>
      <c r="D438" s="5">
        <f t="shared" si="22"/>
        <v>346560.31682891113</v>
      </c>
      <c r="E438">
        <v>240000</v>
      </c>
      <c r="F438" s="4">
        <f t="shared" si="23"/>
        <v>0.44400132012046306</v>
      </c>
    </row>
    <row r="439" spans="1:6" x14ac:dyDescent="0.5">
      <c r="A439" s="3">
        <v>44084</v>
      </c>
      <c r="B439" s="2">
        <v>236517.66315446101</v>
      </c>
      <c r="C439" s="6">
        <f>VLOOKUP(A439,fund_value_simple[],8,FALSE)</f>
        <v>1.4652618844901462</v>
      </c>
      <c r="D439" s="5">
        <f t="shared" si="22"/>
        <v>346560.31682891113</v>
      </c>
      <c r="E439">
        <v>240000</v>
      </c>
      <c r="F439" s="4">
        <f t="shared" si="23"/>
        <v>0.44400132012046306</v>
      </c>
    </row>
    <row r="440" spans="1:6" x14ac:dyDescent="0.5">
      <c r="A440" s="3">
        <v>44085</v>
      </c>
      <c r="B440" s="2">
        <v>236517.66315446101</v>
      </c>
      <c r="C440" s="6">
        <f>VLOOKUP(A440,fund_value_simple[],8,FALSE)</f>
        <v>1.4652618844901462</v>
      </c>
      <c r="D440" s="5">
        <f t="shared" si="22"/>
        <v>346560.31682891113</v>
      </c>
      <c r="E440">
        <v>240000</v>
      </c>
      <c r="F440" s="4">
        <f t="shared" si="23"/>
        <v>0.44400132012046306</v>
      </c>
    </row>
    <row r="441" spans="1:6" x14ac:dyDescent="0.5">
      <c r="A441" s="3">
        <v>44088</v>
      </c>
      <c r="B441" s="2">
        <v>236517.66315446101</v>
      </c>
      <c r="C441" s="6">
        <f>VLOOKUP(A441,fund_value_simple[],8,FALSE)</f>
        <v>1.4652618844901462</v>
      </c>
      <c r="D441" s="5">
        <f t="shared" si="22"/>
        <v>346560.31682891113</v>
      </c>
      <c r="E441">
        <v>240000</v>
      </c>
      <c r="F441" s="4">
        <f t="shared" si="23"/>
        <v>0.44400132012046306</v>
      </c>
    </row>
    <row r="442" spans="1:6" x14ac:dyDescent="0.5">
      <c r="A442" s="3">
        <v>44089</v>
      </c>
      <c r="B442" s="2">
        <v>236517.66315446101</v>
      </c>
      <c r="C442" s="6">
        <f>VLOOKUP(A442,fund_value_simple[],8,FALSE)</f>
        <v>1.4652618844901462</v>
      </c>
      <c r="D442" s="5">
        <f t="shared" si="22"/>
        <v>346560.31682891113</v>
      </c>
      <c r="E442">
        <v>240000</v>
      </c>
      <c r="F442" s="4">
        <f t="shared" si="23"/>
        <v>0.44400132012046306</v>
      </c>
    </row>
    <row r="443" spans="1:6" x14ac:dyDescent="0.5">
      <c r="A443" s="3">
        <v>44090</v>
      </c>
      <c r="B443" s="2">
        <v>236517.66315446101</v>
      </c>
      <c r="C443" s="6">
        <f>VLOOKUP(A443,fund_value_simple[],8,FALSE)</f>
        <v>1.4652618844901462</v>
      </c>
      <c r="D443" s="5">
        <f t="shared" si="22"/>
        <v>346560.31682891113</v>
      </c>
      <c r="E443">
        <v>240000</v>
      </c>
      <c r="F443" s="4">
        <f t="shared" si="23"/>
        <v>0.44400132012046306</v>
      </c>
    </row>
    <row r="444" spans="1:6" x14ac:dyDescent="0.5">
      <c r="A444" s="3">
        <v>44091</v>
      </c>
      <c r="B444" s="2">
        <v>236517.66315446101</v>
      </c>
      <c r="C444" s="6">
        <f>VLOOKUP(A444,fund_value_simple[],8,FALSE)</f>
        <v>1.4652618844901462</v>
      </c>
      <c r="D444" s="5">
        <f t="shared" si="22"/>
        <v>346560.31682891113</v>
      </c>
      <c r="E444">
        <v>240000</v>
      </c>
      <c r="F444" s="4">
        <f t="shared" si="23"/>
        <v>0.44400132012046306</v>
      </c>
    </row>
    <row r="445" spans="1:6" x14ac:dyDescent="0.5">
      <c r="A445" s="3">
        <v>44092</v>
      </c>
      <c r="B445" s="2">
        <v>236517.66315446101</v>
      </c>
      <c r="C445" s="6">
        <f>VLOOKUP(A445,fund_value_simple[],8,FALSE)</f>
        <v>1.4655900051106874</v>
      </c>
      <c r="D445" s="5">
        <f t="shared" si="22"/>
        <v>346637.92315131437</v>
      </c>
      <c r="E445">
        <v>240000</v>
      </c>
      <c r="F445" s="4">
        <f t="shared" si="23"/>
        <v>0.44432467979714324</v>
      </c>
    </row>
    <row r="446" spans="1:6" x14ac:dyDescent="0.5">
      <c r="A446" s="3">
        <v>44095</v>
      </c>
      <c r="B446" s="2">
        <v>236517.66315446101</v>
      </c>
      <c r="C446" s="6">
        <f>VLOOKUP(A446,fund_value_simple[],8,FALSE)</f>
        <v>1.4655900051106874</v>
      </c>
      <c r="D446" s="5">
        <f t="shared" si="22"/>
        <v>346637.92315131437</v>
      </c>
      <c r="E446">
        <v>240000</v>
      </c>
      <c r="F446" s="4">
        <f t="shared" si="23"/>
        <v>0.44432467979714324</v>
      </c>
    </row>
    <row r="447" spans="1:6" x14ac:dyDescent="0.5">
      <c r="A447" s="3">
        <v>44096</v>
      </c>
      <c r="B447" s="2">
        <v>236517.66315446101</v>
      </c>
      <c r="C447" s="6">
        <f>VLOOKUP(A447,fund_value_simple[],8,FALSE)</f>
        <v>1.4655900051106874</v>
      </c>
      <c r="D447" s="5">
        <f t="shared" si="22"/>
        <v>346637.92315131437</v>
      </c>
      <c r="E447">
        <v>240000</v>
      </c>
      <c r="F447" s="4">
        <f t="shared" si="23"/>
        <v>0.44432467979714324</v>
      </c>
    </row>
    <row r="448" spans="1:6" x14ac:dyDescent="0.5">
      <c r="A448" s="3">
        <v>44097</v>
      </c>
      <c r="B448" s="2">
        <v>236517.66315446101</v>
      </c>
      <c r="C448" s="6">
        <f>VLOOKUP(A448,fund_value_simple[],8,FALSE)</f>
        <v>1.4655900051106874</v>
      </c>
      <c r="D448" s="5">
        <f t="shared" si="22"/>
        <v>346637.92315131437</v>
      </c>
      <c r="E448">
        <v>240000</v>
      </c>
      <c r="F448" s="4">
        <f t="shared" si="23"/>
        <v>0.44432467979714324</v>
      </c>
    </row>
    <row r="449" spans="1:6" x14ac:dyDescent="0.5">
      <c r="A449" s="3">
        <v>44098</v>
      </c>
      <c r="B449" s="2">
        <v>236517.66315446101</v>
      </c>
      <c r="C449" s="6">
        <f>VLOOKUP(A449,fund_value_simple[],8,FALSE)</f>
        <v>1.4625985867995592</v>
      </c>
      <c r="D449" s="5">
        <f t="shared" si="22"/>
        <v>345930.39988284884</v>
      </c>
      <c r="E449">
        <v>240000</v>
      </c>
      <c r="F449" s="4">
        <f t="shared" si="23"/>
        <v>0.44137666617853683</v>
      </c>
    </row>
    <row r="450" spans="1:6" x14ac:dyDescent="0.5">
      <c r="A450" s="3">
        <v>44099</v>
      </c>
      <c r="B450" s="2">
        <v>236517.66315446101</v>
      </c>
      <c r="C450" s="6">
        <f>VLOOKUP(A450,fund_value_simple[],8,FALSE)</f>
        <v>1.4635681792872426</v>
      </c>
      <c r="D450" s="5">
        <f t="shared" si="22"/>
        <v>346159.72563224786</v>
      </c>
      <c r="E450">
        <v>240000</v>
      </c>
      <c r="F450" s="4">
        <f t="shared" si="23"/>
        <v>0.44233219013436609</v>
      </c>
    </row>
    <row r="451" spans="1:6" x14ac:dyDescent="0.5">
      <c r="A451" s="3">
        <v>44102</v>
      </c>
      <c r="B451" s="2">
        <v>236517.66315446101</v>
      </c>
      <c r="C451" s="6">
        <f>VLOOKUP(A451,fund_value_simple[],8,FALSE)</f>
        <v>1.4554669709849188</v>
      </c>
      <c r="D451" s="5">
        <f t="shared" si="22"/>
        <v>344243.64677585469</v>
      </c>
      <c r="E451">
        <v>240000</v>
      </c>
      <c r="F451" s="4">
        <f t="shared" si="23"/>
        <v>0.4343485282327279</v>
      </c>
    </row>
    <row r="452" spans="1:6" x14ac:dyDescent="0.5">
      <c r="A452" s="3">
        <v>44103</v>
      </c>
      <c r="B452" s="2">
        <v>236517.66315446101</v>
      </c>
      <c r="C452" s="6">
        <f>VLOOKUP(A452,fund_value_simple[],8,FALSE)</f>
        <v>1.4611620802107033</v>
      </c>
      <c r="D452" s="5">
        <f t="shared" si="22"/>
        <v>345590.64070134668</v>
      </c>
      <c r="E452">
        <v>240000</v>
      </c>
      <c r="F452" s="4">
        <f t="shared" si="23"/>
        <v>0.43996100292227786</v>
      </c>
    </row>
    <row r="453" spans="1:6" x14ac:dyDescent="0.5">
      <c r="A453" s="3">
        <v>44104</v>
      </c>
      <c r="B453" s="2">
        <v>236517.66315446101</v>
      </c>
      <c r="C453" s="6">
        <f>VLOOKUP(A453,fund_value_simple[],8,FALSE)</f>
        <v>1.4663664137706989</v>
      </c>
      <c r="D453" s="5">
        <f t="shared" si="22"/>
        <v>346821.55751323316</v>
      </c>
      <c r="E453">
        <v>240000</v>
      </c>
      <c r="F453" s="4">
        <f t="shared" si="23"/>
        <v>0.44508982297180483</v>
      </c>
    </row>
    <row r="454" spans="1:6" x14ac:dyDescent="0.5">
      <c r="A454" s="3">
        <v>44113</v>
      </c>
      <c r="B454" s="2">
        <v>236517.66315446101</v>
      </c>
      <c r="C454" s="6">
        <f>VLOOKUP(A454,fund_value_simple[],8,FALSE)</f>
        <v>1.5095603144075473</v>
      </c>
      <c r="D454" s="5">
        <f t="shared" si="22"/>
        <v>357037.67795438657</v>
      </c>
      <c r="E454">
        <v>240000</v>
      </c>
      <c r="F454" s="4">
        <f t="shared" si="23"/>
        <v>0.48765699147661073</v>
      </c>
    </row>
    <row r="455" spans="1:6" x14ac:dyDescent="0.5">
      <c r="A455" s="3">
        <v>44116</v>
      </c>
      <c r="B455" s="2">
        <v>236517.66315446101</v>
      </c>
      <c r="C455" s="6">
        <f>VLOOKUP(A455,fund_value_simple[],8,FALSE)</f>
        <v>1.5393432698112777</v>
      </c>
      <c r="D455" s="5">
        <f t="shared" si="22"/>
        <v>364081.87296831037</v>
      </c>
      <c r="E455">
        <v>240000</v>
      </c>
      <c r="F455" s="4">
        <f t="shared" si="23"/>
        <v>0.51700780403462654</v>
      </c>
    </row>
    <row r="456" spans="1:6" x14ac:dyDescent="0.5">
      <c r="A456" s="3">
        <v>44117</v>
      </c>
      <c r="B456" s="2">
        <v>236517.66315446101</v>
      </c>
      <c r="C456" s="6">
        <f>VLOOKUP(A456,fund_value_simple[],8,FALSE)</f>
        <v>1.5433127586030635</v>
      </c>
      <c r="D456" s="5">
        <f t="shared" si="22"/>
        <v>365020.72718126135</v>
      </c>
      <c r="E456">
        <v>240000</v>
      </c>
      <c r="F456" s="4">
        <f t="shared" si="23"/>
        <v>0.52091969658858894</v>
      </c>
    </row>
    <row r="457" spans="1:6" x14ac:dyDescent="0.5">
      <c r="A457" s="3">
        <v>44118</v>
      </c>
      <c r="B457" s="2">
        <v>236517.66315446101</v>
      </c>
      <c r="C457" s="6">
        <f>VLOOKUP(A457,fund_value_simple[],8,FALSE)</f>
        <v>1.5374177282347448</v>
      </c>
      <c r="D457" s="5">
        <f t="shared" si="22"/>
        <v>363626.44837432203</v>
      </c>
      <c r="E457">
        <v>240000</v>
      </c>
      <c r="F457" s="4">
        <f t="shared" si="23"/>
        <v>0.51511020155967513</v>
      </c>
    </row>
    <row r="458" spans="1:6" x14ac:dyDescent="0.5">
      <c r="A458" s="3">
        <v>44119</v>
      </c>
      <c r="B458" s="2">
        <v>236517.66315446101</v>
      </c>
      <c r="C458" s="6">
        <f>VLOOKUP(A458,fund_value_simple[],8,FALSE)</f>
        <v>1.5289546710824589</v>
      </c>
      <c r="D458" s="5">
        <f t="shared" si="22"/>
        <v>361624.78587352071</v>
      </c>
      <c r="E458">
        <v>240000</v>
      </c>
      <c r="F458" s="4">
        <f t="shared" si="23"/>
        <v>0.50676994113966967</v>
      </c>
    </row>
    <row r="459" spans="1:6" x14ac:dyDescent="0.5">
      <c r="A459" s="3">
        <v>44120</v>
      </c>
      <c r="B459" s="2">
        <v>236517.66315446101</v>
      </c>
      <c r="C459" s="6">
        <f>VLOOKUP(A459,fund_value_simple[],8,FALSE)</f>
        <v>1.5312313478148936</v>
      </c>
      <c r="D459" s="5">
        <f t="shared" si="22"/>
        <v>362163.26013403432</v>
      </c>
      <c r="E459">
        <v>240000</v>
      </c>
      <c r="F459" s="4">
        <f t="shared" si="23"/>
        <v>0.50901358389180973</v>
      </c>
    </row>
    <row r="460" spans="1:6" x14ac:dyDescent="0.5">
      <c r="A460" s="3">
        <v>44123</v>
      </c>
      <c r="B460" s="2">
        <v>236517.66315446101</v>
      </c>
      <c r="C460" s="6">
        <f>VLOOKUP(A460,fund_value_simple[],8,FALSE)</f>
        <v>1.5089995658749413</v>
      </c>
      <c r="D460" s="5">
        <f t="shared" ref="D460:D464" si="24">B460*C460</f>
        <v>356905.05102183728</v>
      </c>
      <c r="E460">
        <v>240000</v>
      </c>
      <c r="F460" s="4">
        <f t="shared" si="23"/>
        <v>0.48710437925765532</v>
      </c>
    </row>
    <row r="461" spans="1:6" x14ac:dyDescent="0.5">
      <c r="A461" s="3">
        <v>44124</v>
      </c>
      <c r="B461" s="2">
        <v>236517.66315446101</v>
      </c>
      <c r="C461" s="6">
        <f>VLOOKUP(A461,fund_value_simple[],8,FALSE)</f>
        <v>1.528200603007986</v>
      </c>
      <c r="D461" s="5">
        <f t="shared" si="24"/>
        <v>361446.43545468705</v>
      </c>
      <c r="E461">
        <v>240000</v>
      </c>
      <c r="F461" s="4">
        <f t="shared" si="23"/>
        <v>0.50602681439452935</v>
      </c>
    </row>
    <row r="462" spans="1:6" x14ac:dyDescent="0.5">
      <c r="A462" s="3">
        <v>44125</v>
      </c>
      <c r="B462" s="2">
        <v>236517.66315446101</v>
      </c>
      <c r="C462" s="6">
        <f>VLOOKUP(A462,fund_value_simple[],8,FALSE)</f>
        <v>1.5194202476745382</v>
      </c>
      <c r="D462" s="5">
        <f t="shared" si="24"/>
        <v>359369.72632955416</v>
      </c>
      <c r="E462">
        <v>240000</v>
      </c>
      <c r="F462" s="4">
        <f t="shared" si="23"/>
        <v>0.49737385970647569</v>
      </c>
    </row>
    <row r="463" spans="1:6" x14ac:dyDescent="0.5">
      <c r="A463" s="3">
        <v>44126</v>
      </c>
      <c r="B463" s="2">
        <v>236517.66315446101</v>
      </c>
      <c r="C463" s="6">
        <f>VLOOKUP(A463,fund_value_simple[],8,FALSE)</f>
        <v>1.4914525240942043</v>
      </c>
      <c r="D463" s="5">
        <f t="shared" si="24"/>
        <v>352754.86570458364</v>
      </c>
      <c r="E463">
        <v>240000</v>
      </c>
      <c r="F463" s="4">
        <f t="shared" si="23"/>
        <v>0.46981194043576519</v>
      </c>
    </row>
    <row r="464" spans="1:6" x14ac:dyDescent="0.5">
      <c r="A464" s="3">
        <v>44127</v>
      </c>
      <c r="B464" s="2">
        <v>236517.66315446101</v>
      </c>
      <c r="C464" s="6">
        <f>VLOOKUP(A464,fund_value_simple[],8,FALSE)</f>
        <v>1.3827957721498605</v>
      </c>
      <c r="D464" s="5">
        <f t="shared" si="24"/>
        <v>327055.62464875355</v>
      </c>
      <c r="E464">
        <v>240000</v>
      </c>
      <c r="F464" s="4">
        <f t="shared" ref="F464" si="25">(D464-E464)/E464</f>
        <v>0.3627317693698065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697"/>
  <sheetViews>
    <sheetView topLeftCell="A676" workbookViewId="0">
      <selection activeCell="C697" sqref="C697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247511.80000000002</v>
      </c>
      <c r="C40">
        <v>-2602.59</v>
      </c>
      <c r="D40">
        <v>35000</v>
      </c>
      <c r="E40">
        <v>244909.21000000002</v>
      </c>
      <c r="F40">
        <v>33287.834067056472</v>
      </c>
      <c r="G40">
        <v>231711.59123324088</v>
      </c>
      <c r="H40">
        <v>1.0569570934993684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234879.69999999998</v>
      </c>
      <c r="C43">
        <v>-2602.59</v>
      </c>
      <c r="D43">
        <v>0</v>
      </c>
      <c r="E43">
        <v>232277.11</v>
      </c>
      <c r="F43">
        <v>0</v>
      </c>
      <c r="G43">
        <v>231711.59123324088</v>
      </c>
      <c r="H43">
        <v>1.0024406149202516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249768.4</v>
      </c>
      <c r="C47">
        <v>-2774.2400000000016</v>
      </c>
      <c r="D47">
        <v>0</v>
      </c>
      <c r="E47">
        <v>246994.16</v>
      </c>
      <c r="F47">
        <v>0</v>
      </c>
      <c r="G47">
        <v>252724.78850543816</v>
      </c>
      <c r="H47">
        <v>0.97732462834640044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258643</v>
      </c>
      <c r="C54">
        <v>-2774.2400000000016</v>
      </c>
      <c r="D54">
        <v>0</v>
      </c>
      <c r="E54">
        <v>255868.76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262810.10000000003</v>
      </c>
      <c r="C60">
        <v>17225.759999999998</v>
      </c>
      <c r="D60">
        <v>20000</v>
      </c>
      <c r="E60">
        <v>280035.86000000004</v>
      </c>
      <c r="F60">
        <v>19600.8875535511</v>
      </c>
      <c r="G60">
        <v>272325.67605898925</v>
      </c>
      <c r="H60">
        <v>1.0283123650057171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298411.39999999997</v>
      </c>
      <c r="C68">
        <v>-2776.0300000000043</v>
      </c>
      <c r="D68">
        <v>0</v>
      </c>
      <c r="E68">
        <v>295635.36999999994</v>
      </c>
      <c r="F68">
        <v>0</v>
      </c>
      <c r="G68">
        <v>291968.37678308878</v>
      </c>
      <c r="H68">
        <v>1.0125595561317775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286049.40000000002</v>
      </c>
      <c r="C71">
        <v>-2776.0300000000043</v>
      </c>
      <c r="D71">
        <v>0</v>
      </c>
      <c r="E71">
        <v>283273.37</v>
      </c>
      <c r="F71">
        <v>0</v>
      </c>
      <c r="G71">
        <v>291968.37678308878</v>
      </c>
      <c r="H71">
        <v>0.97021935430511186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288703.10000000003</v>
      </c>
      <c r="C75">
        <v>-2776.0300000000043</v>
      </c>
      <c r="D75">
        <v>0</v>
      </c>
      <c r="E75">
        <v>285927.07</v>
      </c>
      <c r="F75">
        <v>0</v>
      </c>
      <c r="G75">
        <v>291968.37678308878</v>
      </c>
      <c r="H75">
        <v>0.97930835233030378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317833.2</v>
      </c>
      <c r="C86">
        <v>-2567.970000000003</v>
      </c>
      <c r="D86">
        <v>0</v>
      </c>
      <c r="E86">
        <v>315265.23</v>
      </c>
      <c r="F86">
        <v>0</v>
      </c>
      <c r="G86">
        <v>333197.9080959757</v>
      </c>
      <c r="H86">
        <v>0.9461800999938742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</v>
      </c>
      <c r="C105">
        <v>-2770.8300000000036</v>
      </c>
      <c r="D105">
        <v>0</v>
      </c>
      <c r="E105">
        <v>342716.26999999996</v>
      </c>
      <c r="F105">
        <v>0</v>
      </c>
      <c r="G105">
        <v>353624.99619695824</v>
      </c>
      <c r="H105">
        <v>0.96915171067012906</v>
      </c>
    </row>
    <row r="106" spans="1:8" x14ac:dyDescent="0.5">
      <c r="A106" s="1">
        <v>43238</v>
      </c>
      <c r="B106">
        <v>349069.69999999995</v>
      </c>
      <c r="C106">
        <v>-2770.8300000000036</v>
      </c>
      <c r="D106">
        <v>0</v>
      </c>
      <c r="E106">
        <v>346298.86999999994</v>
      </c>
      <c r="F106">
        <v>0</v>
      </c>
      <c r="G106">
        <v>353624.99619695824</v>
      </c>
      <c r="H106">
        <v>0.97928278182892403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  <row r="630" spans="1:8" x14ac:dyDescent="0.5">
      <c r="A630" s="1">
        <v>44026</v>
      </c>
      <c r="B630">
        <v>2076679.8000000003</v>
      </c>
      <c r="C630">
        <v>192.84000000008382</v>
      </c>
      <c r="D630">
        <v>0</v>
      </c>
      <c r="E630">
        <v>2076872.6400000004</v>
      </c>
      <c r="F630">
        <v>0</v>
      </c>
      <c r="G630">
        <v>1239780.1318912031</v>
      </c>
      <c r="H630">
        <v>1.6751943240386242</v>
      </c>
    </row>
    <row r="631" spans="1:8" x14ac:dyDescent="0.5">
      <c r="A631" s="1">
        <v>44027</v>
      </c>
      <c r="B631">
        <v>1983823.3</v>
      </c>
      <c r="C631">
        <v>50083.400000000081</v>
      </c>
      <c r="D631">
        <v>0</v>
      </c>
      <c r="E631">
        <v>2033906.7000000002</v>
      </c>
      <c r="F631">
        <v>0</v>
      </c>
      <c r="G631">
        <v>1239780.1318912031</v>
      </c>
      <c r="H631">
        <v>1.6405382274495794</v>
      </c>
    </row>
    <row r="632" spans="1:8" x14ac:dyDescent="0.5">
      <c r="A632" s="1">
        <v>44028</v>
      </c>
      <c r="B632">
        <v>0</v>
      </c>
      <c r="C632">
        <v>1948229.6900000002</v>
      </c>
      <c r="D632">
        <v>0</v>
      </c>
      <c r="E632">
        <v>1948229.6900000002</v>
      </c>
      <c r="F632">
        <v>0</v>
      </c>
      <c r="G632">
        <v>1239780.1318912031</v>
      </c>
      <c r="H632">
        <v>1.5714316110455036</v>
      </c>
    </row>
    <row r="633" spans="1:8" x14ac:dyDescent="0.5">
      <c r="A633" s="1">
        <v>44029</v>
      </c>
      <c r="B633">
        <v>0</v>
      </c>
      <c r="C633">
        <v>1948229.6900000002</v>
      </c>
      <c r="D633">
        <v>0</v>
      </c>
      <c r="E633">
        <v>1948229.6900000002</v>
      </c>
      <c r="F633">
        <v>0</v>
      </c>
      <c r="G633">
        <v>1239780.1318912031</v>
      </c>
      <c r="H633">
        <v>1.5714316110455036</v>
      </c>
    </row>
    <row r="634" spans="1:8" x14ac:dyDescent="0.5">
      <c r="A634" s="1">
        <v>44032</v>
      </c>
      <c r="B634">
        <v>0</v>
      </c>
      <c r="C634">
        <v>48229.690000000177</v>
      </c>
      <c r="D634">
        <v>-1900000</v>
      </c>
      <c r="E634">
        <v>48229.690000000177</v>
      </c>
      <c r="F634">
        <v>-1209088.5703488511</v>
      </c>
      <c r="G634">
        <v>30691.561542351963</v>
      </c>
      <c r="H634">
        <v>1.5714316110454973</v>
      </c>
    </row>
    <row r="635" spans="1:8" x14ac:dyDescent="0.5">
      <c r="A635" s="1">
        <v>44033</v>
      </c>
      <c r="B635">
        <v>0</v>
      </c>
      <c r="C635">
        <v>48229.690000000177</v>
      </c>
      <c r="D635">
        <v>0</v>
      </c>
      <c r="E635">
        <v>48229.690000000177</v>
      </c>
      <c r="F635">
        <v>0</v>
      </c>
      <c r="G635">
        <v>30691.561542351963</v>
      </c>
      <c r="H635">
        <v>1.5714316110454973</v>
      </c>
    </row>
    <row r="636" spans="1:8" x14ac:dyDescent="0.5">
      <c r="A636" s="1">
        <v>44034</v>
      </c>
      <c r="B636">
        <v>0</v>
      </c>
      <c r="C636">
        <v>48229.690000000177</v>
      </c>
      <c r="D636">
        <v>0</v>
      </c>
      <c r="E636">
        <v>48229.690000000177</v>
      </c>
      <c r="F636">
        <v>0</v>
      </c>
      <c r="G636">
        <v>30691.561542351963</v>
      </c>
      <c r="H636">
        <v>1.5714316110454973</v>
      </c>
    </row>
    <row r="637" spans="1:8" x14ac:dyDescent="0.5">
      <c r="A637" s="1">
        <v>44035</v>
      </c>
      <c r="B637">
        <v>0</v>
      </c>
      <c r="C637">
        <v>48229.690000000177</v>
      </c>
      <c r="D637">
        <v>0</v>
      </c>
      <c r="E637">
        <v>48229.690000000177</v>
      </c>
      <c r="F637">
        <v>0</v>
      </c>
      <c r="G637">
        <v>30691.561542351963</v>
      </c>
      <c r="H637">
        <v>1.5714316110454973</v>
      </c>
    </row>
    <row r="638" spans="1:8" x14ac:dyDescent="0.5">
      <c r="A638" s="1">
        <v>44036</v>
      </c>
      <c r="B638">
        <v>0</v>
      </c>
      <c r="C638">
        <v>48229.690000000177</v>
      </c>
      <c r="D638">
        <v>0</v>
      </c>
      <c r="E638">
        <v>48229.690000000177</v>
      </c>
      <c r="F638">
        <v>0</v>
      </c>
      <c r="G638">
        <v>30691.561542351963</v>
      </c>
      <c r="H638">
        <v>1.5714316110454973</v>
      </c>
    </row>
    <row r="639" spans="1:8" x14ac:dyDescent="0.5">
      <c r="A639" s="1">
        <v>44039</v>
      </c>
      <c r="B639">
        <v>0</v>
      </c>
      <c r="C639">
        <v>48229.690000000177</v>
      </c>
      <c r="D639">
        <v>0</v>
      </c>
      <c r="E639">
        <v>48229.690000000177</v>
      </c>
      <c r="F639">
        <v>0</v>
      </c>
      <c r="G639">
        <v>30691.561542351963</v>
      </c>
      <c r="H639">
        <v>1.5714316110454973</v>
      </c>
    </row>
    <row r="640" spans="1:8" x14ac:dyDescent="0.5">
      <c r="A640" s="1">
        <v>44040</v>
      </c>
      <c r="B640">
        <v>0</v>
      </c>
      <c r="C640">
        <v>48229.690000000177</v>
      </c>
      <c r="D640">
        <v>0</v>
      </c>
      <c r="E640">
        <v>48229.690000000177</v>
      </c>
      <c r="F640">
        <v>0</v>
      </c>
      <c r="G640">
        <v>30691.561542351963</v>
      </c>
      <c r="H640">
        <v>1.5714316110454973</v>
      </c>
    </row>
    <row r="641" spans="1:8" x14ac:dyDescent="0.5">
      <c r="A641" s="1">
        <v>44041</v>
      </c>
      <c r="B641">
        <v>0</v>
      </c>
      <c r="C641">
        <v>48229.690000000177</v>
      </c>
      <c r="D641">
        <v>0</v>
      </c>
      <c r="E641">
        <v>48229.690000000177</v>
      </c>
      <c r="F641">
        <v>0</v>
      </c>
      <c r="G641">
        <v>30691.561542351963</v>
      </c>
      <c r="H641">
        <v>1.5714316110454973</v>
      </c>
    </row>
    <row r="642" spans="1:8" x14ac:dyDescent="0.5">
      <c r="A642" s="1">
        <v>44042</v>
      </c>
      <c r="B642">
        <v>0</v>
      </c>
      <c r="C642">
        <v>48229.690000000177</v>
      </c>
      <c r="D642">
        <v>0</v>
      </c>
      <c r="E642">
        <v>48229.690000000177</v>
      </c>
      <c r="F642">
        <v>0</v>
      </c>
      <c r="G642">
        <v>30691.561542351963</v>
      </c>
      <c r="H642">
        <v>1.5714316110454973</v>
      </c>
    </row>
    <row r="643" spans="1:8" x14ac:dyDescent="0.5">
      <c r="A643" s="1">
        <v>44043</v>
      </c>
      <c r="B643">
        <v>0</v>
      </c>
      <c r="C643">
        <v>48229.690000000177</v>
      </c>
      <c r="D643">
        <v>0</v>
      </c>
      <c r="E643">
        <v>48229.690000000177</v>
      </c>
      <c r="F643">
        <v>0</v>
      </c>
      <c r="G643">
        <v>30691.561542351963</v>
      </c>
      <c r="H643">
        <v>1.5714316110454973</v>
      </c>
    </row>
    <row r="644" spans="1:8" x14ac:dyDescent="0.5">
      <c r="A644" s="1">
        <v>44046</v>
      </c>
      <c r="B644">
        <v>48874.999999999993</v>
      </c>
      <c r="C644">
        <v>-317.43999999982043</v>
      </c>
      <c r="D644">
        <v>0</v>
      </c>
      <c r="E644">
        <v>48557.560000000172</v>
      </c>
      <c r="F644">
        <v>0</v>
      </c>
      <c r="G644">
        <v>30691.561542351963</v>
      </c>
      <c r="H644">
        <v>1.582114351952882</v>
      </c>
    </row>
    <row r="645" spans="1:8" x14ac:dyDescent="0.5">
      <c r="A645" s="1">
        <v>44047</v>
      </c>
      <c r="B645">
        <v>48237.5</v>
      </c>
      <c r="C645">
        <v>-317.43999999982043</v>
      </c>
      <c r="D645">
        <v>0</v>
      </c>
      <c r="E645">
        <v>47920.06000000018</v>
      </c>
      <c r="F645">
        <v>0</v>
      </c>
      <c r="G645">
        <v>30691.561542351963</v>
      </c>
      <c r="H645">
        <v>1.5613431703002218</v>
      </c>
    </row>
    <row r="646" spans="1:8" x14ac:dyDescent="0.5">
      <c r="A646" s="1">
        <v>44048</v>
      </c>
      <c r="B646">
        <v>48662.5</v>
      </c>
      <c r="C646">
        <v>-317.43999999982043</v>
      </c>
      <c r="D646">
        <v>0</v>
      </c>
      <c r="E646">
        <v>48345.06000000018</v>
      </c>
      <c r="F646">
        <v>0</v>
      </c>
      <c r="G646">
        <v>30691.561542351963</v>
      </c>
      <c r="H646">
        <v>1.5751906247353287</v>
      </c>
    </row>
    <row r="647" spans="1:8" x14ac:dyDescent="0.5">
      <c r="A647" s="1">
        <v>44049</v>
      </c>
      <c r="B647">
        <v>47685.000000000007</v>
      </c>
      <c r="C647">
        <v>-317.43999999982043</v>
      </c>
      <c r="D647">
        <v>0</v>
      </c>
      <c r="E647">
        <v>47367.560000000187</v>
      </c>
      <c r="F647">
        <v>0</v>
      </c>
      <c r="G647">
        <v>30691.561542351963</v>
      </c>
      <c r="H647">
        <v>1.543341479534583</v>
      </c>
    </row>
    <row r="648" spans="1:8" x14ac:dyDescent="0.5">
      <c r="A648" s="1">
        <v>44050</v>
      </c>
      <c r="B648">
        <v>21919.999999999996</v>
      </c>
      <c r="C648">
        <v>24291.410000000178</v>
      </c>
      <c r="D648">
        <v>0</v>
      </c>
      <c r="E648">
        <v>46211.410000000178</v>
      </c>
      <c r="F648">
        <v>0</v>
      </c>
      <c r="G648">
        <v>30691.561542351963</v>
      </c>
      <c r="H648">
        <v>1.5056715161342322</v>
      </c>
    </row>
    <row r="649" spans="1:8" x14ac:dyDescent="0.5">
      <c r="A649" s="1">
        <v>44053</v>
      </c>
      <c r="B649">
        <v>21700</v>
      </c>
      <c r="C649">
        <v>24291.410000000178</v>
      </c>
      <c r="D649">
        <v>0</v>
      </c>
      <c r="E649">
        <v>45991.410000000178</v>
      </c>
      <c r="F649">
        <v>0</v>
      </c>
      <c r="G649">
        <v>30691.561542351963</v>
      </c>
      <c r="H649">
        <v>1.4985034220737063</v>
      </c>
    </row>
    <row r="650" spans="1:8" x14ac:dyDescent="0.5">
      <c r="A650" s="1">
        <v>44054</v>
      </c>
      <c r="B650">
        <v>21300</v>
      </c>
      <c r="C650">
        <v>184291.41000000018</v>
      </c>
      <c r="D650">
        <v>160000</v>
      </c>
      <c r="E650">
        <v>205591.41000000018</v>
      </c>
      <c r="F650">
        <v>106773.19627244076</v>
      </c>
      <c r="G650">
        <v>137464.75781479274</v>
      </c>
      <c r="H650">
        <v>1.4955935853536728</v>
      </c>
    </row>
    <row r="651" spans="1:8" x14ac:dyDescent="0.5">
      <c r="A651" s="1">
        <v>44055</v>
      </c>
      <c r="B651">
        <v>0</v>
      </c>
      <c r="C651">
        <v>204946.24000000017</v>
      </c>
      <c r="D651">
        <v>0</v>
      </c>
      <c r="E651">
        <v>204946.24000000017</v>
      </c>
      <c r="F651">
        <v>0</v>
      </c>
      <c r="G651">
        <v>137464.75781479274</v>
      </c>
      <c r="H651">
        <v>1.4909002369620126</v>
      </c>
    </row>
    <row r="652" spans="1:8" x14ac:dyDescent="0.5">
      <c r="A652" s="1">
        <v>44056</v>
      </c>
      <c r="B652">
        <v>0</v>
      </c>
      <c r="C652">
        <v>204946.24000000017</v>
      </c>
      <c r="D652">
        <v>0</v>
      </c>
      <c r="E652">
        <v>204946.24000000017</v>
      </c>
      <c r="F652">
        <v>0</v>
      </c>
      <c r="G652">
        <v>137464.75781479274</v>
      </c>
      <c r="H652">
        <v>1.4909002369620126</v>
      </c>
    </row>
    <row r="653" spans="1:8" x14ac:dyDescent="0.5">
      <c r="A653" s="1">
        <v>44057</v>
      </c>
      <c r="B653">
        <v>0</v>
      </c>
      <c r="C653">
        <v>204946.24000000017</v>
      </c>
      <c r="D653">
        <v>0</v>
      </c>
      <c r="E653">
        <v>204946.24000000017</v>
      </c>
      <c r="F653">
        <v>0</v>
      </c>
      <c r="G653">
        <v>137464.75781479274</v>
      </c>
      <c r="H653">
        <v>1.4909002369620126</v>
      </c>
    </row>
    <row r="654" spans="1:8" x14ac:dyDescent="0.5">
      <c r="A654" s="1">
        <v>44060</v>
      </c>
      <c r="B654">
        <v>0</v>
      </c>
      <c r="C654">
        <v>204946.24000000017</v>
      </c>
      <c r="D654">
        <v>0</v>
      </c>
      <c r="E654">
        <v>204946.24000000017</v>
      </c>
      <c r="F654">
        <v>0</v>
      </c>
      <c r="G654">
        <v>137464.75781479274</v>
      </c>
      <c r="H654">
        <v>1.4909002369620126</v>
      </c>
    </row>
    <row r="655" spans="1:8" x14ac:dyDescent="0.5">
      <c r="A655" s="1">
        <v>44061</v>
      </c>
      <c r="B655">
        <v>0</v>
      </c>
      <c r="C655">
        <v>204946.24000000017</v>
      </c>
      <c r="D655">
        <v>0</v>
      </c>
      <c r="E655">
        <v>204946.24000000017</v>
      </c>
      <c r="F655">
        <v>0</v>
      </c>
      <c r="G655">
        <v>137464.75781479274</v>
      </c>
      <c r="H655">
        <v>1.4909002369620126</v>
      </c>
    </row>
    <row r="656" spans="1:8" x14ac:dyDescent="0.5">
      <c r="A656" s="1">
        <v>44062</v>
      </c>
      <c r="B656">
        <v>0</v>
      </c>
      <c r="C656">
        <v>204946.24000000017</v>
      </c>
      <c r="D656">
        <v>0</v>
      </c>
      <c r="E656">
        <v>204946.24000000017</v>
      </c>
      <c r="F656">
        <v>0</v>
      </c>
      <c r="G656">
        <v>137464.75781479274</v>
      </c>
      <c r="H656">
        <v>1.4909002369620126</v>
      </c>
    </row>
    <row r="657" spans="1:8" x14ac:dyDescent="0.5">
      <c r="A657" s="1">
        <v>44063</v>
      </c>
      <c r="B657">
        <v>0</v>
      </c>
      <c r="C657">
        <v>204946.24000000017</v>
      </c>
      <c r="D657">
        <v>0</v>
      </c>
      <c r="E657">
        <v>204946.24000000017</v>
      </c>
      <c r="F657">
        <v>0</v>
      </c>
      <c r="G657">
        <v>137464.75781479274</v>
      </c>
      <c r="H657">
        <v>1.4909002369620126</v>
      </c>
    </row>
    <row r="658" spans="1:8" x14ac:dyDescent="0.5">
      <c r="A658" s="1">
        <v>44064</v>
      </c>
      <c r="B658">
        <v>0</v>
      </c>
      <c r="C658">
        <v>204946.24000000017</v>
      </c>
      <c r="D658">
        <v>0</v>
      </c>
      <c r="E658">
        <v>204946.24000000017</v>
      </c>
      <c r="F658">
        <v>0</v>
      </c>
      <c r="G658">
        <v>137464.75781479274</v>
      </c>
      <c r="H658">
        <v>1.4909002369620126</v>
      </c>
    </row>
    <row r="659" spans="1:8" x14ac:dyDescent="0.5">
      <c r="A659" s="1">
        <v>44067</v>
      </c>
      <c r="B659">
        <v>0</v>
      </c>
      <c r="C659">
        <v>204946.24000000017</v>
      </c>
      <c r="D659">
        <v>0</v>
      </c>
      <c r="E659">
        <v>204946.24000000017</v>
      </c>
      <c r="F659">
        <v>0</v>
      </c>
      <c r="G659">
        <v>137464.75781479274</v>
      </c>
      <c r="H659">
        <v>1.4909002369620126</v>
      </c>
    </row>
    <row r="660" spans="1:8" x14ac:dyDescent="0.5">
      <c r="A660" s="1">
        <v>44068</v>
      </c>
      <c r="B660">
        <v>0</v>
      </c>
      <c r="C660">
        <v>204946.24000000017</v>
      </c>
      <c r="D660">
        <v>0</v>
      </c>
      <c r="E660">
        <v>204946.24000000017</v>
      </c>
      <c r="F660">
        <v>0</v>
      </c>
      <c r="G660">
        <v>137464.75781479274</v>
      </c>
      <c r="H660">
        <v>1.4909002369620126</v>
      </c>
    </row>
    <row r="661" spans="1:8" x14ac:dyDescent="0.5">
      <c r="A661" s="1">
        <v>44069</v>
      </c>
      <c r="B661">
        <v>0</v>
      </c>
      <c r="C661">
        <v>204946.24000000017</v>
      </c>
      <c r="D661">
        <v>0</v>
      </c>
      <c r="E661">
        <v>204946.24000000017</v>
      </c>
      <c r="F661">
        <v>0</v>
      </c>
      <c r="G661">
        <v>137464.75781479274</v>
      </c>
      <c r="H661">
        <v>1.4909002369620126</v>
      </c>
    </row>
    <row r="662" spans="1:8" x14ac:dyDescent="0.5">
      <c r="A662" s="1">
        <v>44070</v>
      </c>
      <c r="B662">
        <v>0</v>
      </c>
      <c r="C662">
        <v>204946.24000000017</v>
      </c>
      <c r="D662">
        <v>0</v>
      </c>
      <c r="E662">
        <v>204946.24000000017</v>
      </c>
      <c r="F662">
        <v>0</v>
      </c>
      <c r="G662">
        <v>137464.75781479274</v>
      </c>
      <c r="H662">
        <v>1.4909002369620126</v>
      </c>
    </row>
    <row r="663" spans="1:8" x14ac:dyDescent="0.5">
      <c r="A663" s="1">
        <v>44071</v>
      </c>
      <c r="B663">
        <v>0</v>
      </c>
      <c r="C663">
        <v>204946.24000000017</v>
      </c>
      <c r="D663">
        <v>0</v>
      </c>
      <c r="E663">
        <v>204946.24000000017</v>
      </c>
      <c r="F663">
        <v>0</v>
      </c>
      <c r="G663">
        <v>137464.75781479274</v>
      </c>
      <c r="H663">
        <v>1.4909002369620126</v>
      </c>
    </row>
    <row r="664" spans="1:8" x14ac:dyDescent="0.5">
      <c r="A664" s="1">
        <v>44074</v>
      </c>
      <c r="B664">
        <v>86400</v>
      </c>
      <c r="C664">
        <v>116924.24000000017</v>
      </c>
      <c r="D664">
        <v>0</v>
      </c>
      <c r="E664">
        <v>203324.24000000017</v>
      </c>
      <c r="F664">
        <v>0</v>
      </c>
      <c r="G664">
        <v>137464.75781479274</v>
      </c>
      <c r="H664">
        <v>1.4791008490622766</v>
      </c>
    </row>
    <row r="665" spans="1:8" x14ac:dyDescent="0.5">
      <c r="A665" s="1">
        <v>44075</v>
      </c>
      <c r="B665">
        <v>87040</v>
      </c>
      <c r="C665">
        <v>116924.24000000017</v>
      </c>
      <c r="D665">
        <v>0</v>
      </c>
      <c r="E665">
        <v>203964.24000000017</v>
      </c>
      <c r="F665">
        <v>0</v>
      </c>
      <c r="G665">
        <v>137464.75781479274</v>
      </c>
      <c r="H665">
        <v>1.4837565878143302</v>
      </c>
    </row>
    <row r="666" spans="1:8" x14ac:dyDescent="0.5">
      <c r="A666" s="1">
        <v>44076</v>
      </c>
      <c r="B666">
        <v>87200</v>
      </c>
      <c r="C666">
        <v>116924.24000000017</v>
      </c>
      <c r="D666">
        <v>0</v>
      </c>
      <c r="E666">
        <v>204124.24000000017</v>
      </c>
      <c r="F666">
        <v>0</v>
      </c>
      <c r="G666">
        <v>137464.75781479274</v>
      </c>
      <c r="H666">
        <v>1.4849205225023436</v>
      </c>
    </row>
    <row r="667" spans="1:8" x14ac:dyDescent="0.5">
      <c r="A667" s="1">
        <v>44077</v>
      </c>
      <c r="B667">
        <v>190300.79999999999</v>
      </c>
      <c r="C667">
        <v>203731.80000000016</v>
      </c>
      <c r="D667">
        <v>191000</v>
      </c>
      <c r="E667">
        <v>394032.60000000015</v>
      </c>
      <c r="F667">
        <v>128626.41273092011</v>
      </c>
      <c r="G667">
        <v>266091.17054571287</v>
      </c>
      <c r="H667">
        <v>1.4808180188463176</v>
      </c>
    </row>
    <row r="668" spans="1:8" x14ac:dyDescent="0.5">
      <c r="A668" s="1">
        <v>44078</v>
      </c>
      <c r="B668">
        <v>51584</v>
      </c>
      <c r="C668">
        <v>339944.14000000013</v>
      </c>
      <c r="D668">
        <v>0</v>
      </c>
      <c r="E668">
        <v>391528.14000000013</v>
      </c>
      <c r="F668">
        <v>0</v>
      </c>
      <c r="G668">
        <v>266091.17054571287</v>
      </c>
      <c r="H668">
        <v>1.4714059816304124</v>
      </c>
    </row>
    <row r="669" spans="1:8" x14ac:dyDescent="0.5">
      <c r="A669" s="1">
        <v>44081</v>
      </c>
      <c r="B669">
        <v>50876.799999999996</v>
      </c>
      <c r="C669">
        <v>339944.14000000013</v>
      </c>
      <c r="D669">
        <v>0</v>
      </c>
      <c r="E669">
        <v>390820.94000000012</v>
      </c>
      <c r="F669">
        <v>0</v>
      </c>
      <c r="G669">
        <v>266091.17054571287</v>
      </c>
      <c r="H669">
        <v>1.468748245943243</v>
      </c>
    </row>
    <row r="670" spans="1:8" x14ac:dyDescent="0.5">
      <c r="A670" s="1">
        <v>44082</v>
      </c>
      <c r="B670">
        <v>50876.799999999996</v>
      </c>
      <c r="C670">
        <v>339944.14000000013</v>
      </c>
      <c r="D670">
        <v>0</v>
      </c>
      <c r="E670">
        <v>390820.94000000012</v>
      </c>
      <c r="F670">
        <v>0</v>
      </c>
      <c r="G670">
        <v>266091.17054571287</v>
      </c>
      <c r="H670">
        <v>1.468748245943243</v>
      </c>
    </row>
    <row r="671" spans="1:8" x14ac:dyDescent="0.5">
      <c r="A671" s="1">
        <v>44083</v>
      </c>
      <c r="B671">
        <v>0</v>
      </c>
      <c r="C671">
        <v>389893.25000000012</v>
      </c>
      <c r="D671">
        <v>0</v>
      </c>
      <c r="E671">
        <v>389893.25000000012</v>
      </c>
      <c r="F671">
        <v>0</v>
      </c>
      <c r="G671">
        <v>266091.17054571287</v>
      </c>
      <c r="H671">
        <v>1.4652618844901462</v>
      </c>
    </row>
    <row r="672" spans="1:8" x14ac:dyDescent="0.5">
      <c r="A672" s="1">
        <v>44084</v>
      </c>
      <c r="B672">
        <v>0</v>
      </c>
      <c r="C672">
        <v>389893.25000000012</v>
      </c>
      <c r="D672">
        <v>0</v>
      </c>
      <c r="E672">
        <v>389893.25000000012</v>
      </c>
      <c r="F672">
        <v>0</v>
      </c>
      <c r="G672">
        <v>266091.17054571287</v>
      </c>
      <c r="H672">
        <v>1.4652618844901462</v>
      </c>
    </row>
    <row r="673" spans="1:8" x14ac:dyDescent="0.5">
      <c r="A673" s="1">
        <v>44085</v>
      </c>
      <c r="B673">
        <v>0</v>
      </c>
      <c r="C673">
        <v>389893.25000000012</v>
      </c>
      <c r="D673">
        <v>0</v>
      </c>
      <c r="E673">
        <v>389893.25000000012</v>
      </c>
      <c r="F673">
        <v>0</v>
      </c>
      <c r="G673">
        <v>266091.17054571287</v>
      </c>
      <c r="H673">
        <v>1.4652618844901462</v>
      </c>
    </row>
    <row r="674" spans="1:8" x14ac:dyDescent="0.5">
      <c r="A674" s="1">
        <v>44088</v>
      </c>
      <c r="B674">
        <v>0</v>
      </c>
      <c r="C674">
        <v>389893.25000000012</v>
      </c>
      <c r="D674">
        <v>0</v>
      </c>
      <c r="E674">
        <v>389893.25000000012</v>
      </c>
      <c r="F674">
        <v>0</v>
      </c>
      <c r="G674">
        <v>266091.17054571287</v>
      </c>
      <c r="H674">
        <v>1.4652618844901462</v>
      </c>
    </row>
    <row r="675" spans="1:8" x14ac:dyDescent="0.5">
      <c r="A675" s="1">
        <v>44089</v>
      </c>
      <c r="B675">
        <v>0</v>
      </c>
      <c r="C675">
        <v>389893.25000000012</v>
      </c>
      <c r="D675">
        <v>0</v>
      </c>
      <c r="E675">
        <v>389893.25000000012</v>
      </c>
      <c r="F675">
        <v>0</v>
      </c>
      <c r="G675">
        <v>266091.17054571287</v>
      </c>
      <c r="H675">
        <v>1.4652618844901462</v>
      </c>
    </row>
    <row r="676" spans="1:8" x14ac:dyDescent="0.5">
      <c r="A676" s="1">
        <v>44090</v>
      </c>
      <c r="B676">
        <v>0</v>
      </c>
      <c r="C676">
        <v>389893.25000000012</v>
      </c>
      <c r="D676">
        <v>0</v>
      </c>
      <c r="E676">
        <v>389893.25000000012</v>
      </c>
      <c r="F676">
        <v>0</v>
      </c>
      <c r="G676">
        <v>266091.17054571287</v>
      </c>
      <c r="H676">
        <v>1.4652618844901462</v>
      </c>
    </row>
    <row r="677" spans="1:8" x14ac:dyDescent="0.5">
      <c r="A677" s="1">
        <v>44091</v>
      </c>
      <c r="B677">
        <v>0</v>
      </c>
      <c r="C677">
        <v>389893.25000000012</v>
      </c>
      <c r="D677">
        <v>0</v>
      </c>
      <c r="E677">
        <v>389893.25000000012</v>
      </c>
      <c r="F677">
        <v>0</v>
      </c>
      <c r="G677">
        <v>266091.17054571287</v>
      </c>
      <c r="H677">
        <v>1.4652618844901462</v>
      </c>
    </row>
    <row r="678" spans="1:8" x14ac:dyDescent="0.5">
      <c r="A678" s="1">
        <v>44092</v>
      </c>
      <c r="B678">
        <v>0</v>
      </c>
      <c r="C678">
        <v>389980.56000000011</v>
      </c>
      <c r="D678">
        <v>0</v>
      </c>
      <c r="E678">
        <v>389980.56000000011</v>
      </c>
      <c r="F678">
        <v>0</v>
      </c>
      <c r="G678">
        <v>266091.17054571287</v>
      </c>
      <c r="H678">
        <v>1.4655900051106874</v>
      </c>
    </row>
    <row r="679" spans="1:8" x14ac:dyDescent="0.5">
      <c r="A679" s="1">
        <v>44095</v>
      </c>
      <c r="B679">
        <v>0</v>
      </c>
      <c r="C679">
        <v>389980.56000000011</v>
      </c>
      <c r="D679">
        <v>0</v>
      </c>
      <c r="E679">
        <v>389980.56000000011</v>
      </c>
      <c r="F679">
        <v>0</v>
      </c>
      <c r="G679">
        <v>266091.17054571287</v>
      </c>
      <c r="H679">
        <v>1.4655900051106874</v>
      </c>
    </row>
    <row r="680" spans="1:8" x14ac:dyDescent="0.5">
      <c r="A680" s="1">
        <v>44096</v>
      </c>
      <c r="B680">
        <v>0</v>
      </c>
      <c r="C680">
        <v>389980.56000000011</v>
      </c>
      <c r="D680">
        <v>0</v>
      </c>
      <c r="E680">
        <v>389980.56000000011</v>
      </c>
      <c r="F680">
        <v>0</v>
      </c>
      <c r="G680">
        <v>266091.17054571287</v>
      </c>
      <c r="H680">
        <v>1.4655900051106874</v>
      </c>
    </row>
    <row r="681" spans="1:8" x14ac:dyDescent="0.5">
      <c r="A681" s="1">
        <v>44097</v>
      </c>
      <c r="B681">
        <v>0</v>
      </c>
      <c r="C681">
        <v>389980.56000000011</v>
      </c>
      <c r="D681">
        <v>0</v>
      </c>
      <c r="E681">
        <v>389980.56000000011</v>
      </c>
      <c r="F681">
        <v>0</v>
      </c>
      <c r="G681">
        <v>266091.17054571287</v>
      </c>
      <c r="H681">
        <v>1.4655900051106874</v>
      </c>
    </row>
    <row r="682" spans="1:8" x14ac:dyDescent="0.5">
      <c r="A682" s="1">
        <v>44098</v>
      </c>
      <c r="B682">
        <v>87204</v>
      </c>
      <c r="C682">
        <v>301980.57000000012</v>
      </c>
      <c r="D682">
        <v>0</v>
      </c>
      <c r="E682">
        <v>389184.57000000012</v>
      </c>
      <c r="F682">
        <v>0</v>
      </c>
      <c r="G682">
        <v>266091.17054571287</v>
      </c>
      <c r="H682">
        <v>1.4625985867995592</v>
      </c>
    </row>
    <row r="683" spans="1:8" x14ac:dyDescent="0.5">
      <c r="A683" s="1">
        <v>44099</v>
      </c>
      <c r="B683">
        <v>87462.000000000015</v>
      </c>
      <c r="C683">
        <v>301980.57000000012</v>
      </c>
      <c r="D683">
        <v>0</v>
      </c>
      <c r="E683">
        <v>389442.57000000012</v>
      </c>
      <c r="F683">
        <v>0</v>
      </c>
      <c r="G683">
        <v>266091.17054571287</v>
      </c>
      <c r="H683">
        <v>1.4635681792872426</v>
      </c>
    </row>
    <row r="684" spans="1:8" x14ac:dyDescent="0.5">
      <c r="A684" s="1">
        <v>44102</v>
      </c>
      <c r="B684">
        <v>252004</v>
      </c>
      <c r="C684">
        <v>135282.91000000012</v>
      </c>
      <c r="D684">
        <v>0</v>
      </c>
      <c r="E684">
        <v>387286.91000000015</v>
      </c>
      <c r="F684">
        <v>0</v>
      </c>
      <c r="G684">
        <v>266091.17054571287</v>
      </c>
      <c r="H684">
        <v>1.4554669709849188</v>
      </c>
    </row>
    <row r="685" spans="1:8" x14ac:dyDescent="0.5">
      <c r="A685" s="1">
        <v>44103</v>
      </c>
      <c r="B685">
        <v>254302</v>
      </c>
      <c r="C685">
        <v>335282.91000000015</v>
      </c>
      <c r="D685">
        <v>200000</v>
      </c>
      <c r="E685">
        <v>589584.91000000015</v>
      </c>
      <c r="F685">
        <v>137412.94305336205</v>
      </c>
      <c r="G685">
        <v>403504.11359907489</v>
      </c>
      <c r="H685">
        <v>1.4611620802107033</v>
      </c>
    </row>
    <row r="686" spans="1:8" x14ac:dyDescent="0.5">
      <c r="A686" s="1">
        <v>44104</v>
      </c>
      <c r="B686">
        <v>592611</v>
      </c>
      <c r="C686">
        <v>-926.11999999987893</v>
      </c>
      <c r="D686">
        <v>0</v>
      </c>
      <c r="E686">
        <v>591684.88000000012</v>
      </c>
      <c r="F686">
        <v>0</v>
      </c>
      <c r="G686">
        <v>403504.11359907489</v>
      </c>
      <c r="H686">
        <v>1.4663664137706989</v>
      </c>
    </row>
    <row r="687" spans="1:8" x14ac:dyDescent="0.5">
      <c r="A687" s="1">
        <v>44113</v>
      </c>
      <c r="B687">
        <v>615931.19999999995</v>
      </c>
      <c r="C687">
        <v>199073.88000000012</v>
      </c>
      <c r="D687">
        <v>200000</v>
      </c>
      <c r="E687">
        <v>815005.08000000007</v>
      </c>
      <c r="F687">
        <v>136391.55815476467</v>
      </c>
      <c r="G687">
        <v>539895.67175383959</v>
      </c>
      <c r="H687">
        <v>1.5095603144075473</v>
      </c>
    </row>
    <row r="688" spans="1:8" x14ac:dyDescent="0.5">
      <c r="A688" s="1">
        <v>44116</v>
      </c>
      <c r="B688">
        <v>635956.80000000005</v>
      </c>
      <c r="C688">
        <v>399073.88000000012</v>
      </c>
      <c r="D688">
        <v>200000</v>
      </c>
      <c r="E688">
        <v>1035030.6800000002</v>
      </c>
      <c r="F688">
        <v>132488.9095792727</v>
      </c>
      <c r="G688">
        <v>672384.58133311232</v>
      </c>
      <c r="H688">
        <v>1.5393432698112777</v>
      </c>
    </row>
    <row r="689" spans="1:8" x14ac:dyDescent="0.5">
      <c r="A689" s="1">
        <v>44117</v>
      </c>
      <c r="B689">
        <v>908962.8</v>
      </c>
      <c r="C689">
        <v>429510.51000000013</v>
      </c>
      <c r="D689">
        <v>300000</v>
      </c>
      <c r="E689">
        <v>1338473.31</v>
      </c>
      <c r="F689">
        <v>194888.30456690778</v>
      </c>
      <c r="G689">
        <v>867272.88590002013</v>
      </c>
      <c r="H689">
        <v>1.5433127586030635</v>
      </c>
    </row>
    <row r="690" spans="1:8" x14ac:dyDescent="0.5">
      <c r="A690" s="1">
        <v>44118</v>
      </c>
      <c r="B690">
        <v>903850.2</v>
      </c>
      <c r="C690">
        <v>429510.51000000013</v>
      </c>
      <c r="D690">
        <v>0</v>
      </c>
      <c r="E690">
        <v>1333360.71</v>
      </c>
      <c r="F690">
        <v>0</v>
      </c>
      <c r="G690">
        <v>867272.88590002013</v>
      </c>
      <c r="H690">
        <v>1.5374177282347448</v>
      </c>
    </row>
    <row r="691" spans="1:8" x14ac:dyDescent="0.5">
      <c r="A691" s="1">
        <v>44119</v>
      </c>
      <c r="B691">
        <v>994038.8</v>
      </c>
      <c r="C691">
        <v>331982.13000000012</v>
      </c>
      <c r="D691">
        <v>0</v>
      </c>
      <c r="E691">
        <v>1326020.9300000002</v>
      </c>
      <c r="F691">
        <v>0</v>
      </c>
      <c r="G691">
        <v>867272.88590002013</v>
      </c>
      <c r="H691">
        <v>1.5289546710824589</v>
      </c>
    </row>
    <row r="692" spans="1:8" x14ac:dyDescent="0.5">
      <c r="A692" s="1">
        <v>44120</v>
      </c>
      <c r="B692">
        <v>1175674.2000000002</v>
      </c>
      <c r="C692">
        <v>152321.2300000001</v>
      </c>
      <c r="D692">
        <v>0</v>
      </c>
      <c r="E692">
        <v>1327995.4300000002</v>
      </c>
      <c r="F692">
        <v>0</v>
      </c>
      <c r="G692">
        <v>867272.88590002013</v>
      </c>
      <c r="H692">
        <v>1.5312313478148936</v>
      </c>
    </row>
    <row r="693" spans="1:8" x14ac:dyDescent="0.5">
      <c r="A693" s="1">
        <v>44123</v>
      </c>
      <c r="B693">
        <v>1236710.2000000002</v>
      </c>
      <c r="C693">
        <v>269100.43000000011</v>
      </c>
      <c r="D693">
        <v>200000</v>
      </c>
      <c r="E693">
        <v>1505810.6300000004</v>
      </c>
      <c r="F693">
        <v>130613.8359075558</v>
      </c>
      <c r="G693">
        <v>997886.7218075759</v>
      </c>
      <c r="H693">
        <v>1.5089995658749413</v>
      </c>
    </row>
    <row r="694" spans="1:8" x14ac:dyDescent="0.5">
      <c r="A694" s="1">
        <v>44124</v>
      </c>
      <c r="B694">
        <v>1420471.7999999998</v>
      </c>
      <c r="C694">
        <v>104499.2900000001</v>
      </c>
      <c r="D694">
        <v>0</v>
      </c>
      <c r="E694">
        <v>1524971.0899999999</v>
      </c>
      <c r="F694">
        <v>0</v>
      </c>
      <c r="G694">
        <v>997886.7218075759</v>
      </c>
      <c r="H694">
        <v>1.528200603007986</v>
      </c>
    </row>
    <row r="695" spans="1:8" x14ac:dyDescent="0.5">
      <c r="A695" s="1">
        <v>44125</v>
      </c>
      <c r="B695">
        <v>1411710</v>
      </c>
      <c r="C695">
        <v>104499.2900000001</v>
      </c>
      <c r="D695">
        <v>0</v>
      </c>
      <c r="E695">
        <v>1516209.29</v>
      </c>
      <c r="F695">
        <v>0</v>
      </c>
      <c r="G695">
        <v>997886.7218075759</v>
      </c>
      <c r="H695">
        <v>1.5194202476745382</v>
      </c>
    </row>
    <row r="696" spans="1:8" x14ac:dyDescent="0.5">
      <c r="A696" s="1">
        <v>44126</v>
      </c>
      <c r="B696">
        <v>195300</v>
      </c>
      <c r="C696">
        <v>1293000.6700000002</v>
      </c>
      <c r="D696">
        <v>0</v>
      </c>
      <c r="E696">
        <v>1488300.6700000002</v>
      </c>
      <c r="F696">
        <v>0</v>
      </c>
      <c r="G696">
        <v>997886.7218075759</v>
      </c>
      <c r="H696">
        <v>1.4914525240942043</v>
      </c>
    </row>
    <row r="697" spans="1:8" x14ac:dyDescent="0.5">
      <c r="A697" s="1">
        <v>44127</v>
      </c>
      <c r="B697">
        <v>295400</v>
      </c>
      <c r="C697">
        <v>1084473.54</v>
      </c>
      <c r="D697">
        <v>0</v>
      </c>
      <c r="E697">
        <v>1379873.54</v>
      </c>
      <c r="F697">
        <v>0</v>
      </c>
      <c r="G697">
        <v>997886.7218075759</v>
      </c>
      <c r="H697">
        <v>1.3827957721498605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交易记录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2020-10-25T04:34:08Z</dcterms:modified>
</cp:coreProperties>
</file>